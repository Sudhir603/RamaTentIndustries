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Relationships xmlns="http://schemas.openxmlformats.org/package/2006/relationships"><Relationship Id="rId3" Type="http://schemas.openxmlformats.org/package/2006/relationships/metadata/core-properties" Target="docProps/core.xml" /><Relationship Id="rId4" Type="http://schemas.openxmlformats.org/officeDocument/2006/relationships/custom-properties" Target="docProps/custom.xml" /><Relationship Id="rId1" Type="http://schemas.openxmlformats.org/officeDocument/2006/relationships/officeDocument" Target="xl/workbook.xml" /><Relationship Id="rId2" Type="http://schemas.openxmlformats.org/officeDocument/2006/relationships/extended-properties" Target="docProps/app.xml" /></Relationships>
</file>

<file path=xl/workbook.xml><?xml version="1.0" encoding="utf-8"?>
<workbook xmlns:r="http://schemas.openxmlformats.org/officeDocument/2006/relationships" xmlns="http://schemas.openxmlformats.org/spreadsheetml/2006/main">
  <fileVersion appName="xl" lastEdited="7" lowestEdited="6" rupBuild="24931" codeName="{B6124F1A-AFFB-F854-7757-9A1D4C6FC43C}"/>
  <workbookPr codeName="ThisWorkbook"/>
  <bookViews>
    <workbookView xWindow="-120" yWindow="-120" windowWidth="20730" windowHeight="11160" tabRatio="658" activeTab="1"/>
  </bookViews>
  <sheets>
    <sheet name="Help Instructions " sheetId="12" r:id="rId1"/>
    <sheet name="GSTR-3B" sheetId="1" r:id="rId2"/>
    <sheet name="Sheet1" sheetId="13" r:id="rId3" state="hidden"/>
    <sheet name="Master" sheetId="11" r:id="rId4" state="hidden"/>
  </sheets>
  <externalReferences>
    <externalReference r:id="rId5"/>
  </externalReferences>
  <definedNames>
    <definedName name="ExemptNilRatedRange" comment="">'GSTR-3B'!$D$39,'GSTR-3B'!$E$39,'GSTR-3B'!$D$40,'GSTR-3B'!$E$40</definedName>
    <definedName name="InterestRange" comment="">'GSTR-3B'!$C$56:$F$56</definedName>
    <definedName name="InterStateSuppliesValuesRange" comment="">'GSTR-3B'!$C$79:$H$115</definedName>
    <definedName name="ITCRange" comment="">'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 comment="">'GSTR-3B'!$C$11,'GSTR-3B'!$D$11,'GSTR-3B'!$E$11,'GSTR-3B'!$F$11,'GSTR-3B'!$G$11,'GSTR-3B'!$C$12,'GSTR-3B'!$D$12,'GSTR-3B'!$G$12,'GSTR-3B'!$C$13,'GSTR-3B'!$C$14,'GSTR-3B'!$D$14,'GSTR-3B'!$E$14,'GSTR-3B'!$F$14,'GSTR-3B'!$G$14,'GSTR-3B'!$C$15</definedName>
    <definedName name="StatesAndUT" comment="" localSheetId="0">OFFSET('[1]Master'!$C$2,0,0,COUNT('[1]Master'!$B$2:$B$39),1)</definedName>
    <definedName name="StatesAndUT" comment="">OFFSET(Master!$C$2,0,0,COUNT(Master!$B$2:$B$39),1)</definedName>
    <definedName name="StateUTRange" comment="">'GSTR-3B'!$B$79:$B$115</definedName>
  </definedNames>
  <calcPr fullPrecision="1"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authors>
    <author>Vishnupriya .</author>
  </authors>
  <commentList>
    <comment ref="C5" authorId="0">
      <text>
        <r>
          <t/>
        </r>
        <r>
          <rPr>
            <sz val="9"/>
            <color indexed="81"/>
            <rFont val="Tahoma"/>
          </rPr>
          <t>Please enter valid GSTIN</t>
        </r>
      </text>
    </comment>
  </commentList>
</comments>
</file>

<file path=xl/sharedStrings.xml><?xml version="1.0" encoding="utf-8"?>
<sst xmlns="http://schemas.openxmlformats.org/spreadsheetml/2006/main" uniqueCount="120" count="166">
  <si>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</si>
  <si>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</si>
  <si>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</si>
  <si>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</si>
  <si>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</si>
  <si>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</si>
  <si>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</si>
  <si>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</si>
  <si>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</si>
  <si>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</si>
  <si>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</si>
  <si>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</si>
  <si>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</si>
  <si>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</si>
  <si>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</si>
  <si>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</si>
  <si>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</si>
  <si>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</si>
  <si>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</si>
  <si>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</si>
  <si>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</si>
  <si>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</si>
  <si>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</si>
  <si>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</si>
  <si>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</si>
  <si>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</si>
  <si>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</si>
  <si>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</si>
  <si>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</si>
  <si>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</si>
  <si>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</si>
  <si>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</si>
  <si>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</si>
  <si>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</si>
  <si>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</si>
  <si>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</si>
  <si>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</si>
  <si>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</si>
  <si>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</si>
  <si>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</si>
  <si>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</si>
  <si>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</si>
  <si>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</si>
  <si>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</si>
  <si>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</si>
  <si>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</si>
  <si>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</si>
  <si>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</si>
  <si>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</si>
  <si>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</si>
  <si>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</si>
  <si>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</si>
  <si>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</si>
  <si>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</si>
  <si>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</si>
  <si>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</si>
  <si>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</si>
  <si>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</si>
  <si>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</si>
  <si>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</si>
  <si>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</si>
  <si>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</si>
  <si>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</si>
  <si>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</si>
  <si>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</si>
  <si>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</si>
  <si>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</si>
  <si>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</si>
  <si>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</si>
  <si>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</si>
  <si>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</si>
  <si>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charset val="0"/>
        <scheme val="major"/>
      </rPr>
      <t>B) ITC Reversed</t>
    </r>
  </si>
  <si>
    <r>
      <t xml:space="preserve"> </t>
    </r>
    <r>
      <rPr>
        <b/>
        <sz val="12"/>
        <color theme="1"/>
        <rFont val="Calibri Light"/>
        <family val="2"/>
        <charset val="0"/>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</si>
  <si>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</si>
  <si>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</si>
  <si>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</si>
  <si>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</si>
  <si>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</si>
  <si>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</si>
  <si>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</si>
  <si>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</si>
  <si>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</si>
  <si>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</si>
  <si>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</si>
  <si>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</si>
  <si>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</si>
  <si>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charset val="0"/>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</si>
  <si>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</si>
  <si>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</si>
  <si>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</si>
  <si>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charset val="0"/>
        <scheme val="major"/>
      </rPr>
      <t>[See rule 61(5)]</t>
    </r>
  </si>
  <si>
    <t>Place of Supply(State/UT)</t>
  </si>
  <si>
    <t>(a) Outward Taxable  supplies  (other than zero rated, nil rated and exempted)</t>
  </si>
  <si>
    <t xml:space="preserve"> GSTR-3B JSON Upload on GST Portal  </t>
  </si>
  <si>
    <r>
      <t/>
    </r>
    <r>
      <rPr>
        <b/>
        <sz val="22"/>
        <color theme="0"/>
        <rFont val="Calibri"/>
        <family val="2"/>
        <charset val="0"/>
        <scheme val="minor"/>
      </rPr>
      <t>Goods and Services Tax - GSTR-3B Offline Utility</t>
    </r>
    <r>
      <rPr>
        <b/>
        <sz val="14"/>
        <color theme="0"/>
        <rFont val="Calibri"/>
        <family val="2"/>
        <charset val="0"/>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</si>
  <si>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</si>
  <si>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</si>
  <si>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</si>
  <si>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</si>
  <si>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</si>
  <si>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</si>
  <si>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</si>
  <si>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</si>
  <si>
    <t>2019-20</t>
  </si>
  <si>
    <t>2020-21</t>
  </si>
  <si>
    <t>38-Ladakh</t>
  </si>
  <si>
    <t>26-Dadra and Nagar Haveli and Daman and Diu</t>
  </si>
  <si>
    <t>Validation Failed</t>
  </si>
  <si>
    <t>Fields with errors have been marked with comments</t>
  </si>
  <si>
    <t>2021-22</t>
  </si>
  <si>
    <t>2022-23</t>
  </si>
  <si>
    <t>(1) As per rules 38,42 &amp; 43 of CGST Rules and section 17(5)</t>
  </si>
  <si>
    <t>(D) Other Details</t>
  </si>
  <si>
    <t>(1) ITC reclaimed which was reversed under Table 4(B)(2) in earlier tax period</t>
  </si>
  <si>
    <t>(2) Ineligible ITC under section 16(4) &amp; ITC restricted due to PoS rules</t>
  </si>
  <si>
    <t>24BBOPB8604B1Z3</t>
  </si>
  <si>
    <t>RAMA TENT INDUSTRIES</t>
  </si>
  <si>
    <t>April</t>
  </si>
  <si>
    <t>2026-27</t>
  </si>
  <si>
    <t>36-Telangana</t>
  </si>
</sst>
</file>

<file path=xl/styles.xml><?xml version="1.0" encoding="utf-8"?>
<styleSheet xmlns:mc="http://schemas.openxmlformats.org/markup-compatibility/2006" xmlns:x14ac="http://schemas.microsoft.com/office/spreadsheetml/2009/9/ac" xmlns="http://schemas.openxmlformats.org/spreadsheetml/2006/main" mc:Ignorable="x14ac">
  <numFmts count="1">
    <numFmt numFmtId="164" formatCode="[$₹-4009]\ #,##0.00"/>
  </numFmts>
  <fonts count="37">
    <font>
      <sz val="11"/>
      <color theme="1"/>
      <name val="Calibri"/>
      <family val="2"/>
      <charset val="0"/>
      <scheme val="minor"/>
    </font>
    <font>
      <b/>
      <sz val="11"/>
      <color theme="1"/>
      <name val="Times New Roman"/>
      <family val="1"/>
      <charset val="0"/>
    </font>
    <font>
      <sz val="11"/>
      <color theme="1"/>
      <name val="Times New Roman"/>
      <family val="1"/>
      <charset val="0"/>
    </font>
    <font>
      <sz val="11"/>
      <color rgb="FF000000"/>
      <name val="Times New Roman"/>
      <family val="1"/>
      <charset val="0"/>
    </font>
    <font>
      <sz val="11"/>
      <color theme="1"/>
      <name val="Calibri"/>
      <family val="2"/>
      <charset val="0"/>
      <scheme val="minor"/>
    </font>
    <font>
      <b/>
      <sz val="12"/>
      <color theme="1"/>
      <name val="Calibri Light"/>
      <family val="2"/>
      <charset val="0"/>
      <scheme val="major"/>
    </font>
    <font>
      <b/>
      <sz val="12"/>
      <color rgb="FF7030A0"/>
      <name val="Calibri Light"/>
      <family val="2"/>
      <charset val="0"/>
      <scheme val="major"/>
    </font>
    <font>
      <sz val="12"/>
      <color theme="1"/>
      <name val="Calibri Light"/>
      <family val="2"/>
      <charset val="0"/>
      <scheme val="major"/>
    </font>
    <font>
      <i/>
      <sz val="12"/>
      <color theme="1"/>
      <name val="Calibri Light"/>
      <family val="2"/>
      <charset val="0"/>
      <scheme val="major"/>
    </font>
    <font>
      <b/>
      <sz val="12"/>
      <color rgb="FFFFFFFF"/>
      <name val="Calibri Light"/>
      <family val="2"/>
      <charset val="0"/>
      <scheme val="major"/>
    </font>
    <font>
      <sz val="12"/>
      <name val="Calibri Light"/>
      <family val="2"/>
      <charset val="0"/>
      <scheme val="major"/>
    </font>
    <font>
      <sz val="12"/>
      <color theme="0" tint="-0.249977111117893"/>
      <name val="Calibri Light"/>
      <family val="2"/>
      <charset val="0"/>
      <scheme val="major"/>
    </font>
    <font>
      <sz val="12"/>
      <color rgb="FFFFFFFF"/>
      <name val="Calibri Light"/>
      <family val="2"/>
      <charset val="0"/>
      <scheme val="major"/>
    </font>
    <font>
      <b/>
      <sz val="12"/>
      <color theme="1" tint="0.0499893185216834"/>
      <name val="Calibri Light"/>
      <family val="2"/>
      <charset val="0"/>
      <scheme val="major"/>
    </font>
    <font>
      <b/>
      <sz val="14"/>
      <color theme="1"/>
      <name val="Calibri Light"/>
      <family val="2"/>
      <charset val="0"/>
      <scheme val="major"/>
    </font>
    <font>
      <b/>
      <sz val="14"/>
      <name val="Calibri Light"/>
      <family val="2"/>
      <charset val="0"/>
      <scheme val="major"/>
    </font>
    <font>
      <b/>
      <i/>
      <sz val="13"/>
      <color theme="0"/>
      <name val="Calibri Light"/>
      <family val="2"/>
      <charset val="0"/>
      <scheme val="major"/>
    </font>
    <font>
      <b/>
      <i/>
      <sz val="13"/>
      <name val="Calibri Light"/>
      <family val="2"/>
      <charset val="0"/>
      <scheme val="major"/>
    </font>
    <font>
      <b/>
      <i/>
      <sz val="12"/>
      <name val="Calibri Light"/>
      <family val="2"/>
      <charset val="0"/>
      <scheme val="major"/>
    </font>
    <font>
      <b/>
      <i/>
      <sz val="14"/>
      <name val="Calibri Light"/>
      <family val="2"/>
      <charset val="0"/>
      <scheme val="major"/>
    </font>
    <font>
      <sz val="12"/>
      <color theme="0"/>
      <name val="Calibri Light"/>
      <family val="2"/>
      <charset val="0"/>
      <scheme val="major"/>
    </font>
    <font>
      <b/>
      <sz val="12"/>
      <color rgb="FF2B0749"/>
      <name val="Calibri Light"/>
      <family val="2"/>
      <charset val="0"/>
      <scheme val="major"/>
    </font>
    <font>
      <sz val="12"/>
      <color rgb="FFFF0000"/>
      <name val="Calibri Light"/>
      <family val="2"/>
      <charset val="0"/>
      <scheme val="major"/>
    </font>
    <font>
      <i/>
      <sz val="14"/>
      <color theme="1"/>
      <name val="Calibri Light"/>
      <family val="2"/>
      <charset val="0"/>
      <scheme val="major"/>
    </font>
    <font>
      <sz val="12"/>
      <color rgb="FF000000"/>
      <name val="Calibri Light"/>
      <family val="2"/>
      <charset val="0"/>
      <scheme val="major"/>
    </font>
    <font>
      <b/>
      <sz val="24"/>
      <color theme="8" tint="-0.499984740745262"/>
      <name val="Calibri Light"/>
      <family val="2"/>
      <charset val="0"/>
      <scheme val="major"/>
    </font>
    <font>
      <b/>
      <i/>
      <sz val="14"/>
      <color theme="1"/>
      <name val="Calibri Light"/>
      <family val="2"/>
      <charset val="0"/>
      <scheme val="major"/>
    </font>
    <font>
      <i/>
      <sz val="14"/>
      <color rgb="FFFF0000"/>
      <name val="Calibri Light"/>
      <family val="2"/>
      <charset val="0"/>
      <scheme val="major"/>
    </font>
    <font>
      <b/>
      <sz val="12"/>
      <color theme="1"/>
      <name val="Bookman Old Style"/>
      <family val="1"/>
      <charset val="0"/>
    </font>
    <font>
      <b/>
      <sz val="14"/>
      <color theme="8" tint="-0.499984740745262"/>
      <name val="Calibri Light"/>
      <family val="2"/>
      <charset val="0"/>
      <scheme val="major"/>
    </font>
    <font>
      <sz val="11"/>
      <color rgb="FFFF0000"/>
      <name val="Calibri"/>
      <family val="2"/>
      <charset val="0"/>
      <scheme val="minor"/>
    </font>
    <font>
      <i/>
      <sz val="12"/>
      <color rgb="FF000000"/>
      <name val="Calibri Light"/>
      <family val="2"/>
      <charset val="0"/>
      <scheme val="major"/>
    </font>
    <font>
      <b/>
      <sz val="11"/>
      <color theme="0"/>
      <name val="Calibri"/>
      <family val="2"/>
      <charset val="0"/>
      <scheme val="minor"/>
    </font>
    <font>
      <b/>
      <sz val="14"/>
      <color theme="0"/>
      <name val="Calibri"/>
      <family val="2"/>
      <charset val="0"/>
      <scheme val="minor"/>
    </font>
    <font>
      <b/>
      <sz val="22"/>
      <color theme="0"/>
      <name val="Calibri"/>
      <family val="2"/>
      <charset val="0"/>
      <scheme val="minor"/>
    </font>
    <font>
      <sz val="9"/>
      <color indexed="81"/>
      <name val="Tahoma"/>
    </font>
    <font>
      <b/>
      <sz val="13"/>
      <color rgb="00E7E6E6"/>
      <name val="+mj-lt"/>
      <family val="2"/>
      <charset val="0"/>
    </font>
  </fonts>
  <fills count="25">
    <fill>
      <patternFill patternType="none">
        <fgColor indexed="64"/>
        <bgColor indexed="65"/>
      </patternFill>
    </fill>
    <fill>
      <patternFill patternType="gray125">
        <fgColor indexed="64"/>
        <bgColor indexed="65"/>
      </patternFill>
    </fill>
    <fill>
      <patternFill patternType="solid">
        <fgColor theme="4" tint="0.59999389629810485"/>
        <bgColor indexed="64"/>
      </patternFill>
    </fill>
    <fill>
      <patternFill patternType="solid">
        <fgColor theme="0"/>
        <bgColor indexed="64"/>
      </patternFill>
    </fill>
    <fill>
      <patternFill patternType="solid">
        <fgColor rgb="FF8F5303"/>
        <bgColor indexed="64"/>
      </patternFill>
    </fill>
    <fill>
      <patternFill patternType="solid">
        <fgColor theme="5" tint="-0.499984740745262"/>
        <bgColor indexed="64"/>
      </patternFill>
    </fill>
    <fill>
      <patternFill patternType="solid">
        <fgColor rgb="FFFAE1BC"/>
        <bgColor indexed="64"/>
      </patternFill>
    </fill>
    <fill>
      <patternFill patternType="solid">
        <fgColor theme="0" tint="-0.0499893185216834"/>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7" tint="-0.249977111117893"/>
        <bgColor indexed="64"/>
      </patternFill>
    </fill>
    <fill>
      <patternFill patternType="solid">
        <fgColor rgb="FFB3A3E1"/>
        <bgColor indexed="64"/>
      </patternFill>
    </fill>
    <fill>
      <patternFill patternType="solid">
        <fgColor rgb="FF7030A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rgb="FFC6D1FE"/>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8" tint="0.59999389629810485"/>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double">
        <color theme="8" tint="-0.499984740745262"/>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medium">
        <color indexed="64"/>
      </left>
      <right style="medium">
        <color indexed="64"/>
      </right>
      <top/>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bottom style="thin">
        <color theme="8"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style="medium">
        <color theme="3" tint="-0.499984740745262"/>
      </top>
      <bottom style="medium">
        <color theme="3" tint="-0.499984740745262"/>
      </bottom>
      <diagonal/>
    </border>
    <border>
      <left/>
      <right style="medium">
        <color indexed="64"/>
      </right>
      <top style="medium">
        <color indexed="64"/>
      </top>
      <bottom style="medium">
        <color indexed="64"/>
      </bottom>
      <diagonal/>
    </border>
    <border>
      <left style="medium">
        <color indexed="64"/>
      </left>
      <right style="medium">
        <color theme="8" tint="-0.499984740745262"/>
      </right>
      <top/>
      <bottom style="thin">
        <color theme="8" tint="-0.499984740745262"/>
      </bottom>
      <diagonal/>
    </border>
    <border>
      <left/>
      <right style="thin">
        <color theme="8" tint="-0.499984740745262"/>
      </right>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medium">
        <color theme="8" tint="-0.499984740745262"/>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3" tint="-0.499984740745262"/>
      </left>
      <right style="thin">
        <color theme="3" tint="-0.499984740745262"/>
      </right>
      <top/>
      <bottom style="thin">
        <color theme="3" tint="-0.499984740745262"/>
      </bottom>
      <diagonal/>
    </border>
    <border>
      <left style="thin">
        <color theme="3" tint="-0.499984740745262"/>
      </left>
      <right style="thin">
        <color theme="3" tint="-0.499984740745262"/>
      </right>
      <top/>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right style="thin">
        <color theme="8" tint="-0.499984740745262"/>
      </right>
      <top style="thin">
        <color theme="8" tint="-0.499984740745262"/>
      </top>
      <bottom style="thin">
        <color theme="8" tint="-0.499984740745262"/>
      </bottom>
      <diagonal/>
    </border>
    <border>
      <left/>
      <right style="thin">
        <color theme="8" tint="-0.499984740745262"/>
      </right>
      <top style="medium">
        <color theme="8" tint="-0.499984740745262"/>
      </top>
      <bottom style="medium">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theme="8" tint="-0.499984740745262"/>
      </left>
      <right style="thin">
        <color theme="8" tint="-0.499984740745262"/>
      </right>
      <top/>
      <bottom style="thin">
        <color theme="8"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right style="thin">
        <color indexed="64"/>
      </right>
      <top style="medium">
        <color indexed="64"/>
      </top>
      <bottom/>
      <diagonal/>
    </border>
    <border>
      <left style="medium">
        <color indexed="64"/>
      </left>
      <right/>
      <top/>
      <bottom/>
      <diagonal/>
    </border>
    <border>
      <left/>
      <right style="thin">
        <color indexed="64"/>
      </right>
      <top/>
      <bottom/>
      <diagonal/>
    </border>
    <border>
      <left/>
      <right/>
      <top/>
      <bottom style="thin">
        <color indexed="64"/>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thin">
        <color theme="8" tint="-0.499984740745262"/>
      </left>
      <right style="thin">
        <color theme="8" tint="-0.499984740745262"/>
      </right>
      <top style="thin">
        <color theme="8" tint="-0.499984740745262"/>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thin">
        <color theme="3" tint="-0.499984740745262"/>
      </bottom>
      <diagonal/>
    </border>
    <border>
      <left/>
      <right/>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8" tint="-0.499984740745262"/>
      </right>
      <top style="medium">
        <color indexed="64"/>
      </top>
      <bottom style="medium">
        <color indexed="64"/>
      </bottom>
      <diagonal/>
    </border>
    <border>
      <left style="medium">
        <color indexed="64"/>
      </left>
      <right style="thin">
        <color theme="8" tint="-0.499984740745262"/>
      </right>
      <top style="medium">
        <color theme="8" tint="-0.499984740745262"/>
      </top>
      <bottom style="thin">
        <color theme="8" tint="-0.499984740745262"/>
      </bottom>
      <diagonal/>
    </border>
  </borders>
  <cellStyleXfs count="239">
    <xf numFmtId="0" fontId="0" fillId="0" borderId="0"/>
    <xf numFmtId="9" fontId="0" fillId="0" borderId="0" applyAlignment="0" applyBorder="0" applyFont="0" applyFill="0" applyProtection="0"/>
  </cellStyleXfs>
  <cellXfs>
    <xf numFmtId="0" fontId="0" fillId="0" borderId="0" xfId="0"/>
    <xf numFmtId="0" fontId="3" fillId="0" borderId="1" xfId="0" applyAlignment="1" applyBorder="1" applyFont="1">
      <alignment horizontal="left" vertical="top" wrapText="1"/>
    </xf>
    <xf numFmtId="0" fontId="2" fillId="0" borderId="1" xfId="0" applyBorder="1" applyFont="1"/>
    <xf numFmtId="0" fontId="1" fillId="2" borderId="1" xfId="0" applyAlignment="1" applyBorder="1" applyFont="1" applyFill="1" applyProtection="1">
      <alignment horizontal="center" vertical="center" wrapText="1"/>
    </xf>
    <xf numFmtId="0" fontId="7" fillId="0" borderId="0" xfId="0" applyFont="1" applyNumberFormat="1" applyProtection="1">
      <protection locked="0"/>
    </xf>
    <xf numFmtId="0" fontId="7" fillId="3" borderId="2" xfId="0" applyAlignment="1" applyBorder="1" applyFont="1" applyNumberFormat="1" applyFill="1" applyProtection="1">
      <alignment horizontal="center" vertical="center"/>
      <protection locked="0"/>
    </xf>
    <xf numFmtId="0" fontId="8" fillId="3" borderId="3" xfId="0" applyAlignment="1" applyBorder="1" applyFont="1" applyNumberFormat="1" applyFill="1" applyProtection="1">
      <alignment horizontal="center" vertical="center"/>
      <protection locked="0"/>
    </xf>
    <xf numFmtId="0" fontId="16" fillId="4" borderId="4" xfId="0" applyAlignment="1" applyBorder="1" applyFont="1" applyNumberFormat="1" applyFill="1" applyProtection="1">
      <alignment horizontal="center" vertical="center" wrapText="1"/>
      <protection locked="0"/>
    </xf>
    <xf numFmtId="0" fontId="16" fillId="4" borderId="4" xfId="0" applyAlignment="1" applyBorder="1" applyFont="1" applyNumberFormat="1" applyFill="1" applyProtection="1">
      <alignment vertical="center" wrapText="1"/>
      <protection locked="0"/>
    </xf>
    <xf numFmtId="0" fontId="9" fillId="5" borderId="4" xfId="0" applyAlignment="1" applyBorder="1" applyFont="1" applyNumberFormat="1" applyFill="1" applyProtection="1">
      <alignment horizontal="center" vertical="center" wrapText="1"/>
      <protection locked="0"/>
    </xf>
    <xf numFmtId="0" fontId="7" fillId="0" borderId="5" xfId="0" applyAlignment="1" applyBorder="1" applyFont="1" applyNumberFormat="1" applyProtection="1">
      <alignment horizontal="center" vertical="center" wrapText="1"/>
      <protection locked="0"/>
    </xf>
    <xf numFmtId="0" fontId="7" fillId="6" borderId="6" xfId="0" applyAlignment="1" applyBorder="1" applyFont="1" applyNumberFormat="1" applyFill="1" applyProtection="1">
      <alignment horizontal="center" vertical="center" wrapText="1"/>
      <protection locked="0"/>
    </xf>
    <xf numFmtId="0" fontId="7" fillId="6" borderId="6" xfId="0" applyBorder="1" applyFont="1" applyNumberFormat="1" applyFill="1" applyProtection="1">
      <protection locked="0"/>
    </xf>
    <xf numFmtId="0" fontId="7" fillId="6" borderId="6" xfId="0" applyAlignment="1" applyBorder="1" applyFont="1" applyNumberFormat="1" applyFill="1" applyProtection="1">
      <alignment vertical="center" wrapText="1"/>
      <protection locked="0"/>
    </xf>
    <xf numFmtId="0" fontId="7" fillId="6" borderId="7" xfId="0" applyAlignment="1" applyBorder="1" applyFont="1" applyNumberFormat="1" applyFill="1" applyProtection="1">
      <alignment vertical="center" wrapText="1"/>
      <protection locked="0"/>
    </xf>
    <xf numFmtId="0" fontId="7" fillId="0" borderId="8" xfId="0" applyAlignment="1" applyBorder="1" applyFont="1" applyNumberFormat="1" applyProtection="1">
      <alignment horizontal="center" vertical="center" wrapText="1"/>
      <protection locked="0"/>
    </xf>
    <xf numFmtId="0" fontId="7" fillId="6" borderId="1" xfId="0" applyAlignment="1" applyBorder="1" applyFont="1" applyNumberFormat="1" applyFill="1" applyProtection="1">
      <alignment horizontal="center" vertical="center" wrapText="1"/>
      <protection locked="0"/>
    </xf>
    <xf numFmtId="0" fontId="7" fillId="6" borderId="9" xfId="0" applyAlignment="1" applyBorder="1" applyFont="1" applyNumberFormat="1" applyFill="1" applyProtection="1">
      <alignment horizontal="center" vertical="center" wrapText="1"/>
      <protection locked="0"/>
    </xf>
    <xf numFmtId="0" fontId="9" fillId="5" borderId="1" xfId="0" applyAlignment="1" applyBorder="1" applyFont="1" applyNumberFormat="1" applyFill="1" applyProtection="1">
      <alignment horizontal="center" vertical="center" wrapText="1"/>
      <protection locked="0"/>
    </xf>
    <xf numFmtId="0" fontId="7" fillId="6" borderId="1" xfId="0" applyAlignment="1" applyBorder="1" applyFont="1" applyNumberFormat="1" applyFill="1" applyProtection="1">
      <alignment vertical="center" wrapText="1"/>
      <protection locked="0"/>
    </xf>
    <xf numFmtId="0" fontId="7" fillId="6" borderId="10" xfId="0" applyAlignment="1" applyBorder="1" applyFont="1" applyNumberFormat="1" applyFill="1" applyProtection="1">
      <alignment vertical="center" wrapText="1"/>
      <protection locked="0"/>
    </xf>
    <xf numFmtId="0" fontId="7" fillId="6" borderId="11" xfId="0" applyAlignment="1" applyBorder="1" applyFont="1" applyNumberFormat="1" applyFill="1" applyProtection="1">
      <alignment horizontal="center" vertical="center" wrapText="1"/>
      <protection locked="0"/>
    </xf>
    <xf numFmtId="0" fontId="7" fillId="6" borderId="12" xfId="0" applyAlignment="1" applyBorder="1" applyFont="1" applyNumberFormat="1" applyFill="1" applyProtection="1">
      <alignment horizontal="center" vertical="center" wrapText="1"/>
      <protection locked="0"/>
    </xf>
    <xf numFmtId="0" fontId="7" fillId="0" borderId="13" xfId="0" applyAlignment="1" applyBorder="1" applyFont="1" applyNumberFormat="1" applyProtection="1">
      <alignment horizontal="center" vertical="center" wrapText="1"/>
      <protection locked="0"/>
    </xf>
    <xf numFmtId="0" fontId="7" fillId="6" borderId="14" xfId="0" applyAlignment="1" applyBorder="1" applyFont="1" applyNumberFormat="1" applyFill="1" applyProtection="1">
      <alignment horizontal="center" vertical="center" wrapText="1"/>
      <protection locked="0"/>
    </xf>
    <xf numFmtId="0" fontId="7" fillId="6" borderId="14" xfId="0" applyAlignment="1" applyBorder="1" applyFont="1" applyNumberFormat="1" applyFill="1" applyProtection="1">
      <alignment vertical="center" wrapText="1"/>
      <protection locked="0"/>
    </xf>
    <xf numFmtId="0" fontId="7" fillId="6" borderId="15" xfId="0" applyAlignment="1" applyBorder="1" applyFont="1" applyNumberFormat="1" applyFill="1" applyProtection="1">
      <alignment vertical="center" wrapText="1"/>
      <protection locked="0"/>
    </xf>
    <xf numFmtId="0" fontId="7" fillId="3" borderId="0" xfId="0" applyAlignment="1" applyBorder="1" applyFont="1" applyNumberFormat="1" applyFill="1" applyProtection="1">
      <alignment horizontal="center"/>
      <protection locked="0"/>
    </xf>
    <xf numFmtId="0" fontId="7" fillId="3" borderId="0" xfId="0" applyBorder="1" applyFont="1" applyNumberFormat="1" applyFill="1" applyProtection="1">
      <protection locked="0"/>
    </xf>
    <xf numFmtId="0" fontId="23" fillId="7" borderId="16" xfId="0" applyAlignment="1" applyBorder="1" applyFont="1" applyNumberFormat="1" applyFill="1" applyProtection="1">
      <alignment horizontal="center" vertical="center" wrapText="1"/>
      <protection locked="0"/>
    </xf>
    <xf numFmtId="0" fontId="9" fillId="8" borderId="17" xfId="0" applyAlignment="1" applyBorder="1" applyFont="1" applyNumberFormat="1" applyFill="1" applyProtection="1">
      <alignment horizontal="center" vertical="center" wrapText="1"/>
      <protection locked="0"/>
    </xf>
    <xf numFmtId="0" fontId="9" fillId="8" borderId="16" xfId="0" applyAlignment="1" applyBorder="1" applyFont="1" applyNumberFormat="1" applyFill="1" applyProtection="1">
      <alignment horizontal="center" vertical="center" wrapText="1"/>
      <protection locked="0"/>
    </xf>
    <xf numFmtId="0" fontId="8" fillId="0" borderId="18" xfId="0" applyAlignment="1" applyBorder="1" applyFont="1" applyNumberFormat="1" applyProtection="1">
      <alignment horizontal="center" vertical="center" wrapText="1"/>
      <protection locked="0"/>
    </xf>
    <xf numFmtId="0" fontId="24" fillId="2" borderId="18" xfId="0" applyAlignment="1" applyBorder="1" applyFont="1" applyNumberFormat="1" applyFill="1" applyProtection="1">
      <alignment horizontal="center" vertical="center" wrapText="1"/>
      <protection locked="0"/>
    </xf>
    <xf numFmtId="0" fontId="7" fillId="0" borderId="19" xfId="0" applyAlignment="1" applyBorder="1" applyFont="1" applyNumberFormat="1" applyProtection="1">
      <alignment vertical="center" wrapText="1"/>
      <protection locked="0"/>
    </xf>
    <xf numFmtId="0" fontId="7" fillId="0" borderId="6" xfId="0" applyAlignment="1" applyBorder="1" applyFont="1" applyNumberFormat="1" applyProtection="1">
      <alignment vertical="center" wrapText="1"/>
      <protection locked="0"/>
    </xf>
    <xf numFmtId="0" fontId="7" fillId="0" borderId="20" xfId="0" applyAlignment="1" applyBorder="1" applyFont="1" applyNumberFormat="1" applyProtection="1">
      <alignment vertical="center" wrapText="1"/>
      <protection locked="0"/>
    </xf>
    <xf numFmtId="0" fontId="7" fillId="0" borderId="18" xfId="0" applyAlignment="1" applyBorder="1" applyFont="1" applyNumberFormat="1" applyProtection="1">
      <alignment vertical="center" wrapText="1"/>
      <protection locked="0"/>
    </xf>
    <xf numFmtId="0" fontId="7" fillId="8" borderId="21" xfId="0" applyAlignment="1" applyBorder="1" applyFont="1" applyNumberFormat="1" applyFill="1" applyProtection="1">
      <alignment vertical="center" wrapText="1"/>
      <protection locked="0"/>
    </xf>
    <xf numFmtId="0" fontId="8" fillId="0" borderId="22" xfId="0" applyAlignment="1" applyBorder="1" applyFont="1" applyNumberFormat="1" applyProtection="1">
      <alignment horizontal="center" vertical="center" wrapText="1"/>
      <protection locked="0"/>
    </xf>
    <xf numFmtId="0" fontId="24" fillId="2" borderId="23" xfId="0" applyAlignment="1" applyBorder="1" applyFont="1" applyNumberFormat="1" applyFill="1" applyProtection="1">
      <alignment horizontal="center" vertical="center" wrapText="1"/>
      <protection locked="0"/>
    </xf>
    <xf numFmtId="0" fontId="7" fillId="0" borderId="12" xfId="0" applyAlignment="1" applyBorder="1" applyFont="1" applyNumberFormat="1" applyProtection="1">
      <alignment vertical="center" wrapText="1"/>
      <protection locked="0"/>
    </xf>
    <xf numFmtId="0" fontId="7" fillId="0" borderId="0" xfId="0" applyAlignment="1" applyBorder="1" applyFont="1" applyNumberFormat="1" applyProtection="1">
      <alignment vertical="center" wrapText="1"/>
      <protection locked="0"/>
    </xf>
    <xf numFmtId="0" fontId="7" fillId="8" borderId="0" xfId="0" applyAlignment="1" applyBorder="1" applyFont="1" applyNumberFormat="1" applyFill="1" applyProtection="1">
      <alignment vertical="center" wrapText="1"/>
      <protection locked="0"/>
    </xf>
    <xf numFmtId="0" fontId="7" fillId="0" borderId="11" xfId="0" applyAlignment="1" applyBorder="1" applyFont="1" applyNumberFormat="1" applyProtection="1">
      <alignment vertical="center" wrapText="1"/>
      <protection locked="0"/>
    </xf>
    <xf numFmtId="0" fontId="7" fillId="0" borderId="23" xfId="0" applyAlignment="1" applyBorder="1" applyFont="1" applyNumberFormat="1" applyProtection="1">
      <alignment vertical="center" wrapText="1"/>
      <protection locked="0"/>
    </xf>
    <xf numFmtId="0" fontId="7" fillId="0" borderId="24" xfId="0" applyAlignment="1" applyBorder="1" applyFont="1" applyNumberFormat="1" applyProtection="1">
      <alignment vertical="center" wrapText="1"/>
      <protection locked="0"/>
    </xf>
    <xf numFmtId="0" fontId="7" fillId="0" borderId="25" xfId="0" applyAlignment="1" applyBorder="1" applyFont="1" applyNumberFormat="1" applyProtection="1">
      <alignment vertical="center" wrapText="1"/>
      <protection locked="0"/>
    </xf>
    <xf numFmtId="0" fontId="8" fillId="0" borderId="26" xfId="0" applyAlignment="1" applyBorder="1" applyFont="1" applyNumberFormat="1" applyProtection="1">
      <alignment horizontal="center" vertical="center" wrapText="1"/>
      <protection locked="0"/>
    </xf>
    <xf numFmtId="0" fontId="24" fillId="2" borderId="17" xfId="0" applyAlignment="1" applyBorder="1" applyFont="1" applyNumberFormat="1" applyFill="1" applyProtection="1">
      <alignment horizontal="center" vertical="center" wrapText="1"/>
      <protection locked="0"/>
    </xf>
    <xf numFmtId="0" fontId="7" fillId="0" borderId="14" xfId="0" applyAlignment="1" applyBorder="1" applyFont="1" applyNumberFormat="1" applyProtection="1">
      <alignment vertical="center" wrapText="1"/>
      <protection locked="0"/>
    </xf>
    <xf numFmtId="0" fontId="7" fillId="0" borderId="27" xfId="0" applyAlignment="1" applyBorder="1" applyFont="1" applyNumberFormat="1" applyProtection="1">
      <alignment vertical="center" wrapText="1"/>
      <protection locked="0"/>
    </xf>
    <xf numFmtId="0" fontId="7" fillId="0" borderId="17" xfId="0" applyAlignment="1" applyBorder="1" applyFont="1" applyNumberFormat="1" applyProtection="1">
      <alignment vertical="center" wrapText="1"/>
      <protection locked="0"/>
    </xf>
    <xf numFmtId="0" fontId="7" fillId="8" borderId="16" xfId="0" applyAlignment="1" applyBorder="1" applyFont="1" applyNumberFormat="1" applyFill="1" applyProtection="1">
      <alignment vertical="center" wrapText="1"/>
      <protection locked="0"/>
    </xf>
    <xf numFmtId="0" fontId="7" fillId="0" borderId="28" xfId="0" applyAlignment="1" applyBorder="1" applyFont="1" applyNumberFormat="1" applyProtection="1">
      <alignment vertical="center" wrapText="1"/>
      <protection locked="0"/>
    </xf>
    <xf numFmtId="0" fontId="24" fillId="2" borderId="22" xfId="0" applyAlignment="1" applyBorder="1" applyFont="1" applyNumberFormat="1" applyFill="1" applyProtection="1">
      <alignment horizontal="center" vertical="center" wrapText="1"/>
      <protection locked="0"/>
    </xf>
    <xf numFmtId="0" fontId="24" fillId="2" borderId="26" xfId="0" applyAlignment="1" applyBorder="1" applyFont="1" applyNumberFormat="1" applyFill="1" applyProtection="1">
      <alignment horizontal="center" vertical="center" wrapText="1"/>
      <protection locked="0"/>
    </xf>
    <xf numFmtId="0" fontId="18" fillId="9" borderId="29" xfId="0" applyAlignment="1" applyBorder="1" applyFont="1" applyNumberFormat="1" applyFill="1" applyProtection="1">
      <alignment horizontal="center" vertical="center"/>
    </xf>
    <xf numFmtId="0" fontId="18" fillId="9" borderId="30" xfId="0" applyAlignment="1" applyBorder="1" applyFont="1" applyNumberFormat="1" applyFill="1" applyProtection="1">
      <alignment horizontal="center" vertical="center"/>
    </xf>
    <xf numFmtId="0" fontId="17" fillId="10" borderId="31" xfId="0" applyAlignment="1" applyBorder="1" applyFont="1" applyNumberFormat="1" applyFill="1" applyProtection="1">
      <alignment horizontal="center" vertical="center" wrapText="1"/>
    </xf>
    <xf numFmtId="0" fontId="17" fillId="10" borderId="21" xfId="0" applyAlignment="1" applyBorder="1" applyFont="1" applyNumberFormat="1" applyFill="1" applyProtection="1">
      <alignment horizontal="center" vertical="center" wrapText="1"/>
    </xf>
    <xf numFmtId="0" fontId="12" fillId="11" borderId="32" xfId="0" applyAlignment="1" applyBorder="1" applyFont="1" applyNumberFormat="1" applyFill="1" applyProtection="1">
      <alignment horizontal="center" vertical="center" wrapText="1"/>
    </xf>
    <xf numFmtId="0" fontId="12" fillId="11" borderId="33" xfId="0" applyAlignment="1" applyBorder="1" applyFont="1" applyNumberFormat="1" applyFill="1" applyProtection="1">
      <alignment horizontal="center" vertical="center" wrapText="1"/>
    </xf>
    <xf numFmtId="0" fontId="12" fillId="11" borderId="34" xfId="0" applyAlignment="1" applyBorder="1" applyFont="1" applyNumberFormat="1" applyFill="1" applyProtection="1">
      <alignment horizontal="center" vertical="center" wrapText="1"/>
    </xf>
    <xf numFmtId="0" fontId="7" fillId="0" borderId="35" xfId="0" applyAlignment="1" applyBorder="1" applyFont="1" applyNumberFormat="1" applyProtection="1">
      <alignment vertical="center" wrapText="1"/>
    </xf>
    <xf numFmtId="0" fontId="7" fillId="0" borderId="36" xfId="0" applyAlignment="1" applyBorder="1" applyFont="1" applyNumberFormat="1" applyProtection="1">
      <alignment vertical="center" wrapText="1"/>
    </xf>
    <xf numFmtId="0" fontId="7" fillId="0" borderId="37" xfId="0" applyAlignment="1" applyBorder="1" applyFont="1" applyNumberFormat="1" applyProtection="1">
      <alignment vertical="center" wrapText="1"/>
    </xf>
    <xf numFmtId="0" fontId="13" fillId="7" borderId="38" xfId="0" applyAlignment="1" applyBorder="1" applyFont="1" applyNumberFormat="1" applyFill="1" applyProtection="1">
      <alignment horizontal="center" vertical="center" wrapText="1"/>
    </xf>
    <xf numFmtId="0" fontId="16" fillId="8" borderId="4" xfId="0" applyAlignment="1" applyBorder="1" applyFont="1" applyNumberFormat="1" applyFill="1" applyProtection="1">
      <alignment horizontal="center" vertical="center" wrapText="1"/>
    </xf>
    <xf numFmtId="0" fontId="16" fillId="8" borderId="39" xfId="0" applyAlignment="1" applyBorder="1" applyFont="1" applyNumberFormat="1" applyFill="1" applyProtection="1">
      <alignment horizontal="center" vertical="center" wrapText="1"/>
    </xf>
    <xf numFmtId="0" fontId="12" fillId="12" borderId="4" xfId="0" applyAlignment="1" applyBorder="1" applyFont="1" applyNumberFormat="1" applyFill="1" applyProtection="1">
      <alignment horizontal="center" vertical="center" wrapText="1"/>
    </xf>
    <xf numFmtId="0" fontId="12" fillId="12" borderId="39" xfId="0" applyAlignment="1" applyBorder="1" applyFont="1" applyNumberFormat="1" applyFill="1" applyProtection="1">
      <alignment horizontal="center" vertical="center" wrapText="1"/>
    </xf>
    <xf numFmtId="0" fontId="5" fillId="0" borderId="40" xfId="0" applyAlignment="1" applyBorder="1" applyFont="1" applyNumberFormat="1" applyProtection="1">
      <alignment vertical="center" wrapText="1"/>
    </xf>
    <xf numFmtId="0" fontId="7" fillId="0" borderId="41" xfId="0" applyAlignment="1" applyBorder="1" applyFont="1" applyNumberFormat="1" applyProtection="1">
      <alignment horizontal="center" vertical="center" wrapText="1"/>
    </xf>
    <xf numFmtId="0" fontId="7" fillId="0" borderId="42" xfId="0" applyAlignment="1" applyBorder="1" applyFont="1" applyNumberFormat="1" applyProtection="1">
      <alignment horizontal="center" vertical="center" wrapText="1"/>
    </xf>
    <xf numFmtId="0" fontId="7" fillId="0" borderId="43" xfId="0" applyAlignment="1" applyBorder="1" applyFont="1" applyNumberFormat="1" applyProtection="1">
      <alignment horizontal="center" vertical="center" wrapText="1"/>
    </xf>
    <xf numFmtId="0" fontId="7" fillId="0" borderId="44" xfId="0" applyAlignment="1" applyBorder="1" applyFont="1" applyNumberFormat="1" applyProtection="1">
      <alignment horizontal="left" vertical="center" wrapText="1" indent="3"/>
    </xf>
    <xf numFmtId="0" fontId="7" fillId="0" borderId="45" xfId="0" applyAlignment="1" applyBorder="1" applyFont="1" applyNumberFormat="1" applyProtection="1">
      <alignment horizontal="left" vertical="center" wrapText="1" indent="3"/>
    </xf>
    <xf numFmtId="0" fontId="7" fillId="0" borderId="46" xfId="0" applyAlignment="1" applyBorder="1" applyFont="1" applyNumberFormat="1" applyProtection="1">
      <alignment vertical="center" wrapText="1"/>
    </xf>
    <xf numFmtId="0" fontId="7" fillId="0" borderId="47" xfId="0" applyAlignment="1" applyBorder="1" applyFont="1" applyNumberFormat="1" applyProtection="1">
      <alignment horizontal="left" vertical="center" wrapText="1" indent="3"/>
    </xf>
    <xf numFmtId="0" fontId="7" fillId="7" borderId="48" xfId="0" applyAlignment="1" applyBorder="1" applyFont="1" applyNumberFormat="1" applyFill="1" applyProtection="1">
      <alignment vertical="center" wrapText="1"/>
    </xf>
    <xf numFmtId="0" fontId="18" fillId="9" borderId="16" xfId="0" applyAlignment="1" applyBorder="1" applyFont="1" applyNumberFormat="1" applyFill="1" applyProtection="1">
      <alignment horizontal="center" vertical="center" wrapText="1"/>
    </xf>
    <xf numFmtId="0" fontId="12" fillId="13" borderId="21" xfId="0" applyAlignment="1" applyBorder="1" applyFont="1" applyNumberFormat="1" applyFill="1" applyProtection="1">
      <alignment horizontal="center" vertical="center" wrapText="1"/>
    </xf>
    <xf numFmtId="0" fontId="21" fillId="14" borderId="4" xfId="0" applyAlignment="1" applyBorder="1" applyFont="1" applyNumberFormat="1" applyFill="1" applyProtection="1">
      <alignment horizontal="center" vertical="center"/>
    </xf>
    <xf numFmtId="0" fontId="21" fillId="14" borderId="39" xfId="0" applyAlignment="1" applyBorder="1" applyFont="1" applyNumberFormat="1" applyFill="1" applyProtection="1">
      <alignment horizontal="center" vertical="center"/>
    </xf>
    <xf numFmtId="0" fontId="21" fillId="14" borderId="4" xfId="0" applyAlignment="1" applyBorder="1" applyFont="1" applyNumberFormat="1" applyFill="1" applyProtection="1">
      <alignment horizontal="center"/>
    </xf>
    <xf numFmtId="0" fontId="21" fillId="14" borderId="39" xfId="0" applyAlignment="1" applyBorder="1" applyFont="1" applyNumberFormat="1" applyFill="1" applyProtection="1">
      <alignment horizontal="center"/>
    </xf>
    <xf numFmtId="0" fontId="20" fillId="15" borderId="31" xfId="0" applyAlignment="1" applyBorder="1" applyFont="1" applyNumberFormat="1" applyFill="1" applyProtection="1">
      <alignment horizontal="center"/>
    </xf>
    <xf numFmtId="0" fontId="20" fillId="15" borderId="19" xfId="0" applyAlignment="1" applyBorder="1" applyFont="1" applyNumberFormat="1" applyFill="1" applyProtection="1">
      <alignment horizontal="center"/>
    </xf>
    <xf numFmtId="0" fontId="20" fillId="15" borderId="6" xfId="0" applyAlignment="1" applyBorder="1" applyFont="1" applyNumberFormat="1" applyFill="1" applyProtection="1">
      <alignment horizontal="center"/>
    </xf>
    <xf numFmtId="0" fontId="20" fillId="15" borderId="7" xfId="0" applyAlignment="1" applyBorder="1" applyFont="1" applyNumberFormat="1" applyFill="1" applyProtection="1">
      <alignment horizontal="center"/>
    </xf>
    <xf numFmtId="0" fontId="16" fillId="16" borderId="4" xfId="0" applyAlignment="1" applyBorder="1" applyFont="1" applyNumberFormat="1" applyFill="1" applyProtection="1">
      <alignment horizontal="center" vertical="center" wrapText="1"/>
    </xf>
    <xf numFmtId="0" fontId="7" fillId="0" borderId="0" xfId="0" applyFont="1" applyNumberFormat="1" applyProtection="1"/>
    <xf numFmtId="0" fontId="7" fillId="3" borderId="0" xfId="0" applyFont="1" applyNumberFormat="1" applyFill="1" applyProtection="1"/>
    <xf numFmtId="0" fontId="5" fillId="0" borderId="0" xfId="0" applyFont="1" applyNumberFormat="1" applyProtection="1"/>
    <xf numFmtId="0" fontId="28" fillId="0" borderId="0" xfId="0" applyFont="1" applyNumberFormat="1" applyProtection="1"/>
    <xf numFmtId="0" fontId="6" fillId="0" borderId="0" xfId="0" applyAlignment="1" applyFont="1" applyNumberFormat="1" applyProtection="1">
      <alignment horizontal="center" vertical="center"/>
    </xf>
    <xf numFmtId="0" fontId="8" fillId="0" borderId="0" xfId="0" applyAlignment="1" applyFont="1" applyNumberFormat="1" applyProtection="1">
      <alignment horizontal="center" vertical="center"/>
    </xf>
    <xf numFmtId="0" fontId="8" fillId="0" borderId="0" xfId="0" applyAlignment="1" applyBorder="1" applyFont="1" applyNumberFormat="1" applyProtection="1">
      <alignment horizontal="center" vertical="center"/>
    </xf>
    <xf numFmtId="0" fontId="11" fillId="3" borderId="0" xfId="0" applyAlignment="1" applyFont="1" applyNumberFormat="1" applyFill="1" applyProtection="1">
      <alignment horizontal="center"/>
    </xf>
    <xf numFmtId="0" fontId="7" fillId="0" borderId="49" xfId="0" applyAlignment="1" applyBorder="1" applyFont="1" applyNumberFormat="1" applyProtection="1">
      <alignment horizontal="center" vertical="center" wrapText="1"/>
    </xf>
    <xf numFmtId="0" fontId="7" fillId="0" borderId="50" xfId="0" applyAlignment="1" applyBorder="1" applyFont="1" applyNumberFormat="1" applyProtection="1">
      <alignment horizontal="center" vertical="center" wrapText="1"/>
    </xf>
    <xf numFmtId="0" fontId="7" fillId="0" borderId="51" xfId="0" applyAlignment="1" applyBorder="1" applyFont="1" applyNumberFormat="1" applyProtection="1">
      <alignment horizontal="center" vertical="center" wrapText="1"/>
    </xf>
    <xf numFmtId="0" fontId="30" fillId="0" borderId="0" xfId="0" applyFont="1" applyProtection="1"/>
    <xf numFmtId="0" fontId="30" fillId="0" borderId="0" xfId="0" applyFont="1"/>
    <xf numFmtId="0" fontId="5" fillId="0" borderId="52" xfId="0" applyAlignment="1" applyBorder="1" applyFont="1" applyNumberFormat="1" applyProtection="1">
      <alignment horizontal="center" vertical="center"/>
    </xf>
    <xf numFmtId="0" fontId="7" fillId="0" borderId="17" xfId="0" applyAlignment="1" applyBorder="1" applyFont="1" applyNumberFormat="1" applyProtection="1">
      <alignment horizontal="center"/>
    </xf>
    <xf numFmtId="0" fontId="7" fillId="15" borderId="53" xfId="0" applyBorder="1" applyFont="1" applyNumberFormat="1" applyFill="1" applyProtection="1">
      <protection locked="0"/>
    </xf>
    <xf numFmtId="0" fontId="24" fillId="14" borderId="54" xfId="0" applyBorder="1" applyFont="1" applyNumberFormat="1" applyFill="1" applyProtection="1">
      <protection locked="0"/>
    </xf>
    <xf numFmtId="0" fontId="7" fillId="15" borderId="55" xfId="0" applyBorder="1" applyFont="1" applyNumberFormat="1" applyFill="1" applyProtection="1">
      <protection locked="0"/>
    </xf>
    <xf numFmtId="0" fontId="10" fillId="0" borderId="26" xfId="0" applyAlignment="1" applyBorder="1" applyFont="1" applyNumberFormat="1" applyProtection="1">
      <alignment horizontal="center"/>
    </xf>
    <xf numFmtId="0" fontId="10" fillId="17" borderId="17" xfId="0" applyAlignment="1" applyBorder="1" applyFont="1" applyNumberFormat="1" applyFill="1" applyProtection="1">
      <alignment horizontal="center" vertical="center"/>
    </xf>
    <xf numFmtId="0" fontId="24" fillId="18" borderId="1" xfId="0" applyAlignment="1" applyBorder="1" applyFont="1" applyNumberFormat="1" applyFill="1" applyProtection="1">
      <alignment horizontal="left" vertical="top" wrapText="1"/>
      <protection locked="0"/>
    </xf>
    <xf numFmtId="0" fontId="7" fillId="3" borderId="0" xfId="0" applyAlignment="1" applyBorder="1" applyFont="1" applyNumberFormat="1" applyFill="1" applyProtection="1">
      <alignment horizontal="center"/>
    </xf>
    <xf numFmtId="0" fontId="7" fillId="3" borderId="0" xfId="0" applyBorder="1" applyFont="1" applyNumberFormat="1" applyFill="1" applyProtection="1"/>
    <xf numFmtId="0" fontId="0" fillId="0" borderId="1" xfId="0" applyAlignment="1" applyBorder="1">
      <alignment horizontal="left" vertical="top" wrapText="1"/>
    </xf>
    <xf numFmtId="0" fontId="32" fillId="19" borderId="0" xfId="0" applyFont="1" applyFill="1"/>
    <xf numFmtId="9" fontId="0" fillId="0" borderId="1" xfId="1" applyAlignment="1" applyBorder="1" applyFont="1" applyNumberFormat="1">
      <alignment horizontal="left" vertical="top" wrapText="1"/>
    </xf>
    <xf numFmtId="0" fontId="33" fillId="19" borderId="0" xfId="0" applyAlignment="1" applyFont="1" applyFill="1">
      <alignment horizontal="center" wrapText="1"/>
    </xf>
    <xf numFmtId="164" fontId="13" fillId="7" borderId="56" xfId="0" applyAlignment="1" applyBorder="1" applyFont="1" applyNumberFormat="1" applyFill="1" applyProtection="1">
      <alignment horizontal="right" vertical="center" shrinkToFit="1"/>
    </xf>
    <xf numFmtId="164" fontId="24" fillId="20" borderId="57" xfId="0" applyAlignment="1" applyBorder="1" applyFont="1" applyNumberFormat="1" applyFill="1" applyProtection="1">
      <alignment horizontal="right" vertical="center" shrinkToFit="1"/>
      <protection locked="0"/>
    </xf>
    <xf numFmtId="164" fontId="24" fillId="20" borderId="58" xfId="0" applyAlignment="1" applyBorder="1" applyFont="1" applyNumberFormat="1" applyFill="1" applyProtection="1">
      <alignment horizontal="right" vertical="center" shrinkToFit="1"/>
    </xf>
    <xf numFmtId="164" fontId="24" fillId="20" borderId="25" xfId="0" applyAlignment="1" applyBorder="1" applyFont="1" applyNumberFormat="1" applyFill="1" applyProtection="1">
      <alignment horizontal="right" vertical="center" shrinkToFit="1"/>
    </xf>
    <xf numFmtId="164" fontId="13" fillId="7" borderId="59" xfId="0" applyAlignment="1" applyBorder="1" applyFont="1" applyNumberFormat="1" applyFill="1" applyProtection="1">
      <alignment horizontal="right" vertical="center" shrinkToFit="1"/>
    </xf>
    <xf numFmtId="164" fontId="13" fillId="7" borderId="60" xfId="0" applyAlignment="1" applyBorder="1" applyFont="1" applyNumberFormat="1" applyFill="1" applyProtection="1">
      <alignment horizontal="right" vertical="center" shrinkToFit="1"/>
    </xf>
    <xf numFmtId="164" fontId="24" fillId="21" borderId="61" xfId="0" applyAlignment="1" applyBorder="1" applyFont="1" applyNumberFormat="1" applyFill="1" applyProtection="1">
      <alignment horizontal="right" vertical="center" shrinkToFit="1"/>
      <protection locked="0"/>
    </xf>
    <xf numFmtId="164" fontId="24" fillId="21" borderId="61" xfId="0" applyAlignment="1" applyBorder="1" applyFont="1" applyNumberFormat="1" applyFill="1" applyProtection="1">
      <alignment horizontal="right" vertical="center" shrinkToFit="1"/>
    </xf>
    <xf numFmtId="164" fontId="5" fillId="7" borderId="62" xfId="0" applyAlignment="1" applyBorder="1" applyFont="1" applyNumberFormat="1" applyFill="1" applyProtection="1">
      <alignment horizontal="right" vertical="center" shrinkToFit="1"/>
    </xf>
    <xf numFmtId="164" fontId="5" fillId="7" borderId="63" xfId="0" applyAlignment="1" applyBorder="1" applyFont="1" applyNumberFormat="1" applyFill="1" applyProtection="1">
      <alignment horizontal="right" vertical="center" shrinkToFit="1"/>
    </xf>
    <xf numFmtId="164" fontId="24" fillId="22" borderId="64" xfId="0" applyAlignment="1" applyBorder="1" applyFont="1" applyNumberFormat="1" applyFill="1" applyProtection="1">
      <alignment horizontal="right" vertical="center" shrinkToFit="1"/>
      <protection locked="0"/>
    </xf>
    <xf numFmtId="164" fontId="24" fillId="22" borderId="65" xfId="0" applyAlignment="1" applyBorder="1" applyFont="1" applyNumberFormat="1" applyFill="1" applyProtection="1">
      <alignment horizontal="right" vertical="center" shrinkToFit="1"/>
      <protection locked="0"/>
    </xf>
    <xf numFmtId="164" fontId="24" fillId="22" borderId="66" xfId="0" applyAlignment="1" applyBorder="1" applyFont="1" applyNumberFormat="1" applyFill="1" applyProtection="1">
      <alignment horizontal="right" vertical="center" shrinkToFit="1"/>
      <protection locked="0"/>
    </xf>
    <xf numFmtId="164" fontId="5" fillId="7" borderId="67" xfId="0" applyAlignment="1" applyBorder="1" applyFont="1" applyNumberFormat="1" applyFill="1" applyProtection="1">
      <alignment horizontal="right" vertical="center" shrinkToFit="1"/>
    </xf>
    <xf numFmtId="164" fontId="5" fillId="7" borderId="68" xfId="0" applyAlignment="1" applyBorder="1" applyFont="1" applyNumberFormat="1" applyFill="1" applyProtection="1">
      <alignment horizontal="right" vertical="center" shrinkToFit="1"/>
    </xf>
    <xf numFmtId="164" fontId="24" fillId="14" borderId="69" xfId="0" applyAlignment="1" applyBorder="1" applyFont="1" applyNumberFormat="1" applyFill="1" applyProtection="1">
      <alignment shrinkToFit="1"/>
      <protection locked="0"/>
    </xf>
    <xf numFmtId="164" fontId="24" fillId="0" borderId="70" xfId="0" applyAlignment="1" applyBorder="1" applyFont="1" applyNumberFormat="1" applyProtection="1">
      <alignment shrinkToFit="1"/>
      <protection locked="0"/>
    </xf>
    <xf numFmtId="164" fontId="5" fillId="0" borderId="4" xfId="0" applyAlignment="1" applyBorder="1" applyFont="1" applyNumberFormat="1" applyProtection="1">
      <alignment horizontal="right" vertical="center" shrinkToFit="1"/>
    </xf>
    <xf numFmtId="164" fontId="5" fillId="0" borderId="39" xfId="0" applyAlignment="1" applyBorder="1" applyFont="1" applyNumberFormat="1" applyProtection="1">
      <alignment horizontal="right" vertical="center" shrinkToFit="1"/>
    </xf>
    <xf numFmtId="0" fontId="7" fillId="0" borderId="44" xfId="0" applyAlignment="1" applyBorder="1" applyFont="1" applyNumberFormat="1" applyProtection="1">
      <alignment horizontal="left" vertical="center" wrapText="1" indent="3"/>
      <protection locked="0"/>
    </xf>
    <xf numFmtId="0" fontId="5" fillId="0" borderId="40" xfId="0" applyAlignment="1" applyBorder="1" applyFont="1" applyNumberFormat="1" applyProtection="1">
      <alignment vertical="center" wrapText="1"/>
      <protection locked="0"/>
    </xf>
    <xf numFmtId="0" fontId="7" fillId="0" borderId="45" xfId="0" applyAlignment="1" applyBorder="1" applyFont="1" applyNumberFormat="1" applyProtection="1">
      <alignment horizontal="left" vertical="center" wrapText="1" indent="3"/>
      <protection locked="0"/>
    </xf>
    <xf numFmtId="0" fontId="25" fillId="23" borderId="71" xfId="0" applyAlignment="1" applyBorder="1" applyFont="1" applyNumberFormat="1" applyFill="1" applyProtection="1">
      <alignment horizontal="center" vertical="center" wrapText="1"/>
    </xf>
    <xf numFmtId="0" fontId="25" fillId="23" borderId="72" xfId="0" applyAlignment="1" applyBorder="1" applyFont="1" applyNumberFormat="1" applyFill="1" applyProtection="1">
      <alignment horizontal="center" vertical="center"/>
    </xf>
    <xf numFmtId="0" fontId="25" fillId="23" borderId="73" xfId="0" applyAlignment="1" applyBorder="1" applyFont="1" applyNumberFormat="1" applyFill="1" applyProtection="1">
      <alignment horizontal="center" vertical="center"/>
    </xf>
    <xf numFmtId="0" fontId="25" fillId="23" borderId="74" xfId="0" applyAlignment="1" applyBorder="1" applyFont="1" applyNumberFormat="1" applyFill="1" applyProtection="1">
      <alignment horizontal="center" vertical="center"/>
    </xf>
    <xf numFmtId="0" fontId="25" fillId="23" borderId="3" xfId="0" applyAlignment="1" applyBorder="1" applyFont="1" applyNumberFormat="1" applyFill="1" applyProtection="1">
      <alignment horizontal="center" vertical="center"/>
    </xf>
    <xf numFmtId="0" fontId="25" fillId="23" borderId="16" xfId="0" applyAlignment="1" applyBorder="1" applyFont="1" applyNumberFormat="1" applyFill="1" applyProtection="1">
      <alignment horizontal="center" vertical="center"/>
    </xf>
    <xf numFmtId="0" fontId="26" fillId="9" borderId="75" xfId="0" applyAlignment="1" applyBorder="1" applyFont="1" applyNumberFormat="1" applyFill="1" applyProtection="1">
      <alignment horizontal="center" vertical="center"/>
    </xf>
    <xf numFmtId="0" fontId="26" fillId="9" borderId="76" xfId="0" applyAlignment="1" applyBorder="1" applyFont="1" applyNumberFormat="1" applyFill="1" applyProtection="1">
      <alignment horizontal="center" vertical="center"/>
    </xf>
    <xf numFmtId="0" fontId="23" fillId="0" borderId="77" xfId="0" applyAlignment="1" applyBorder="1" applyFont="1" applyNumberFormat="1" applyProtection="1">
      <alignment horizontal="center" vertical="center" wrapText="1"/>
    </xf>
    <xf numFmtId="0" fontId="23" fillId="0" borderId="78" xfId="0" applyAlignment="1" applyBorder="1" applyFont="1" applyNumberFormat="1" applyProtection="1">
      <alignment horizontal="center" vertical="center"/>
    </xf>
    <xf numFmtId="0" fontId="23" fillId="0" borderId="79" xfId="0" applyAlignment="1" applyBorder="1" applyFont="1" applyNumberFormat="1" applyProtection="1">
      <alignment horizontal="center" vertical="center"/>
    </xf>
    <xf numFmtId="0" fontId="23" fillId="0" borderId="80" xfId="0" applyAlignment="1" applyBorder="1" applyFont="1" applyNumberFormat="1" applyProtection="1">
      <alignment horizontal="center" vertical="center"/>
    </xf>
    <xf numFmtId="0" fontId="7" fillId="8" borderId="71" xfId="0" applyAlignment="1" applyBorder="1" applyFont="1" applyNumberFormat="1" applyFill="1" applyProtection="1">
      <alignment horizontal="center" vertical="center" wrapText="1"/>
      <protection locked="0"/>
    </xf>
    <xf numFmtId="0" fontId="7" fillId="8" borderId="72" xfId="0" applyAlignment="1" applyBorder="1" applyFont="1" applyNumberFormat="1" applyFill="1" applyProtection="1">
      <alignment horizontal="center" vertical="center" wrapText="1"/>
      <protection locked="0"/>
    </xf>
    <xf numFmtId="0" fontId="7" fillId="8" borderId="81" xfId="0" applyAlignment="1" applyBorder="1" applyFont="1" applyNumberFormat="1" applyFill="1" applyProtection="1">
      <alignment horizontal="center" vertical="center" wrapText="1"/>
      <protection locked="0"/>
    </xf>
    <xf numFmtId="0" fontId="7" fillId="8" borderId="82" xfId="0" applyAlignment="1" applyBorder="1" applyFont="1" applyNumberFormat="1" applyFill="1" applyProtection="1">
      <alignment horizontal="center" vertical="center" wrapText="1"/>
      <protection locked="0"/>
    </xf>
    <xf numFmtId="0" fontId="7" fillId="8" borderId="0" xfId="0" applyAlignment="1" applyBorder="1" applyFont="1" applyNumberFormat="1" applyFill="1" applyProtection="1">
      <alignment horizontal="center" vertical="center" wrapText="1"/>
      <protection locked="0"/>
    </xf>
    <xf numFmtId="0" fontId="7" fillId="8" borderId="83" xfId="0" applyAlignment="1" applyBorder="1" applyFont="1" applyNumberFormat="1" applyFill="1" applyProtection="1">
      <alignment horizontal="center" vertical="center" wrapText="1"/>
      <protection locked="0"/>
    </xf>
    <xf numFmtId="0" fontId="7" fillId="8" borderId="74" xfId="0" applyAlignment="1" applyBorder="1" applyFont="1" applyNumberFormat="1" applyFill="1" applyProtection="1">
      <alignment horizontal="center" vertical="center" wrapText="1"/>
      <protection locked="0"/>
    </xf>
    <xf numFmtId="0" fontId="7" fillId="8" borderId="3" xfId="0" applyAlignment="1" applyBorder="1" applyFont="1" applyNumberFormat="1" applyFill="1" applyProtection="1">
      <alignment horizontal="center" vertical="center" wrapText="1"/>
      <protection locked="0"/>
    </xf>
    <xf numFmtId="0" fontId="7" fillId="8" borderId="53" xfId="0" applyAlignment="1" applyBorder="1" applyFont="1" applyNumberFormat="1" applyFill="1" applyProtection="1">
      <alignment horizontal="center" vertical="center" wrapText="1"/>
      <protection locked="0"/>
    </xf>
    <xf numFmtId="0" fontId="7" fillId="8" borderId="84" xfId="0" applyAlignment="1" applyBorder="1" applyFont="1" applyNumberFormat="1" applyFill="1" applyProtection="1">
      <alignment horizontal="center" vertical="center" wrapText="1"/>
      <protection locked="0"/>
    </xf>
    <xf numFmtId="0" fontId="22" fillId="8" borderId="74" xfId="0" applyAlignment="1" applyBorder="1" applyFont="1" applyNumberFormat="1" applyFill="1" applyProtection="1">
      <alignment horizontal="center" vertical="center" wrapText="1"/>
      <protection locked="0"/>
    </xf>
    <xf numFmtId="0" fontId="22" fillId="8" borderId="3" xfId="0" applyAlignment="1" applyBorder="1" applyFont="1" applyNumberFormat="1" applyFill="1" applyProtection="1">
      <alignment horizontal="center" vertical="center" wrapText="1"/>
      <protection locked="0"/>
    </xf>
    <xf numFmtId="0" fontId="22" fillId="8" borderId="53" xfId="0" applyAlignment="1" applyBorder="1" applyFont="1" applyNumberFormat="1" applyFill="1" applyProtection="1">
      <alignment horizontal="center" vertical="center" wrapText="1"/>
      <protection locked="0"/>
    </xf>
    <xf numFmtId="0" fontId="7" fillId="8" borderId="73" xfId="0" applyAlignment="1" applyBorder="1" applyFont="1" applyNumberFormat="1" applyFill="1" applyProtection="1">
      <alignment horizontal="center" vertical="center" wrapText="1"/>
      <protection locked="0"/>
    </xf>
    <xf numFmtId="0" fontId="7" fillId="8" borderId="21" xfId="0" applyAlignment="1" applyBorder="1" applyFont="1" applyNumberFormat="1" applyFill="1" applyProtection="1">
      <alignment horizontal="center" vertical="center" wrapText="1"/>
      <protection locked="0"/>
    </xf>
    <xf numFmtId="0" fontId="7" fillId="8" borderId="16" xfId="0" applyAlignment="1" applyBorder="1" applyFont="1" applyNumberFormat="1" applyFill="1" applyProtection="1">
      <alignment horizontal="center" vertical="center" wrapText="1"/>
      <protection locked="0"/>
    </xf>
    <xf numFmtId="0" fontId="14" fillId="7" borderId="74" xfId="0" applyAlignment="1" applyBorder="1" applyFont="1" applyNumberFormat="1" applyFill="1" applyProtection="1">
      <alignment horizontal="center" vertical="center" wrapText="1"/>
      <protection locked="0"/>
    </xf>
    <xf numFmtId="0" fontId="14" fillId="7" borderId="3" xfId="0" applyAlignment="1" applyBorder="1" applyFont="1" applyNumberFormat="1" applyFill="1" applyProtection="1">
      <alignment horizontal="center" vertical="center" wrapText="1"/>
      <protection locked="0"/>
    </xf>
    <xf numFmtId="0" fontId="14" fillId="7" borderId="0" xfId="0" applyAlignment="1" applyBorder="1" applyFont="1" applyNumberFormat="1" applyFill="1" applyProtection="1">
      <alignment horizontal="center" vertical="center" wrapText="1"/>
      <protection locked="0"/>
    </xf>
    <xf numFmtId="0" fontId="14" fillId="7" borderId="21" xfId="0" applyAlignment="1" applyBorder="1" applyFont="1" applyNumberFormat="1" applyFill="1" applyProtection="1">
      <alignment horizontal="center" vertical="center" wrapText="1"/>
      <protection locked="0"/>
    </xf>
    <xf numFmtId="0" fontId="16" fillId="4" borderId="18" xfId="0" applyAlignment="1" applyBorder="1" applyFont="1" applyNumberFormat="1" applyFill="1" applyProtection="1">
      <alignment horizontal="center" vertical="center" wrapText="1"/>
      <protection locked="0"/>
    </xf>
    <xf numFmtId="0" fontId="16" fillId="4" borderId="26" xfId="0" applyAlignment="1" applyBorder="1" applyFont="1" applyNumberFormat="1" applyFill="1" applyProtection="1">
      <alignment horizontal="center" vertical="center" wrapText="1"/>
      <protection locked="0"/>
    </xf>
    <xf numFmtId="0" fontId="31" fillId="3" borderId="2" xfId="0" applyAlignment="1" applyBorder="1" applyFont="1" applyNumberFormat="1" applyFill="1" applyProtection="1">
      <alignment horizontal="center" vertical="center"/>
      <protection locked="0"/>
    </xf>
    <xf numFmtId="0" fontId="18" fillId="24" borderId="85" xfId="0" applyAlignment="1" applyBorder="1" applyFont="1" applyNumberFormat="1" applyFill="1" applyProtection="1">
      <alignment horizontal="center" vertical="center"/>
    </xf>
    <xf numFmtId="0" fontId="18" fillId="24" borderId="86" xfId="0" applyAlignment="1" applyBorder="1" applyFont="1" applyNumberFormat="1" applyFill="1" applyProtection="1">
      <alignment horizontal="center" vertical="center"/>
    </xf>
    <xf numFmtId="0" fontId="18" fillId="24" borderId="87" xfId="0" applyAlignment="1" applyBorder="1" applyFont="1" applyNumberFormat="1" applyFill="1" applyProtection="1">
      <alignment horizontal="center" vertical="center"/>
    </xf>
    <xf numFmtId="0" fontId="18" fillId="24" borderId="88" xfId="0" applyAlignment="1" applyBorder="1" applyFont="1" applyNumberFormat="1" applyFill="1" applyProtection="1">
      <alignment horizontal="center" vertical="center"/>
    </xf>
    <xf numFmtId="0" fontId="18" fillId="9" borderId="74" xfId="0" applyAlignment="1" applyBorder="1" applyFont="1" applyNumberFormat="1" applyFill="1" applyProtection="1">
      <alignment horizontal="center" vertical="center" wrapText="1"/>
    </xf>
    <xf numFmtId="0" fontId="7" fillId="0" borderId="89" xfId="0" applyAlignment="1" applyBorder="1" applyFont="1" applyNumberFormat="1" applyProtection="1">
      <alignment horizontal="left" vertical="center" wrapText="1"/>
    </xf>
    <xf numFmtId="0" fontId="7" fillId="0" borderId="90" xfId="0" applyAlignment="1" applyBorder="1" applyFont="1" applyNumberFormat="1" applyProtection="1">
      <alignment horizontal="left" vertical="center" wrapText="1"/>
    </xf>
    <xf numFmtId="0" fontId="15" fillId="3" borderId="91" xfId="0" applyAlignment="1" applyBorder="1" applyFont="1" applyNumberFormat="1" applyFill="1" applyProtection="1">
      <alignment horizontal="center" vertical="center"/>
      <protection locked="0"/>
    </xf>
    <xf numFmtId="0" fontId="15" fillId="3" borderId="92" xfId="0" applyAlignment="1" applyBorder="1" applyFont="1" applyNumberFormat="1" applyFill="1" applyProtection="1">
      <alignment horizontal="center" vertical="center"/>
      <protection locked="0"/>
    </xf>
    <xf numFmtId="0" fontId="15" fillId="3" borderId="93" xfId="0" applyAlignment="1" applyBorder="1" applyFont="1" applyNumberFormat="1" applyFill="1" applyProtection="1">
      <alignment horizontal="center" vertical="center"/>
      <protection locked="0"/>
    </xf>
    <xf numFmtId="0" fontId="14" fillId="0" borderId="52" xfId="0" applyAlignment="1" applyBorder="1" applyFont="1" applyNumberFormat="1" applyProtection="1">
      <alignment horizontal="center" vertical="center"/>
    </xf>
    <xf numFmtId="0" fontId="14" fillId="0" borderId="94" xfId="0" applyAlignment="1" applyBorder="1" applyFont="1" applyNumberFormat="1" applyProtection="1">
      <alignment horizontal="center" vertical="center"/>
    </xf>
    <xf numFmtId="0" fontId="14" fillId="0" borderId="39" xfId="0" applyAlignment="1" applyBorder="1" applyFont="1" applyNumberFormat="1" applyProtection="1">
      <alignment horizontal="center" vertical="center"/>
    </xf>
    <xf numFmtId="0" fontId="9" fillId="5" borderId="6" xfId="0" applyAlignment="1" applyBorder="1" applyFont="1" applyNumberFormat="1" applyFill="1" applyProtection="1">
      <alignment horizontal="center" vertical="center" wrapText="1"/>
      <protection locked="0"/>
    </xf>
    <xf numFmtId="0" fontId="9" fillId="5" borderId="14" xfId="0" applyAlignment="1" applyBorder="1" applyFont="1" applyNumberFormat="1" applyFill="1" applyProtection="1">
      <alignment horizontal="center" vertical="center" wrapText="1"/>
      <protection locked="0"/>
    </xf>
    <xf numFmtId="0" fontId="23" fillId="7" borderId="95" xfId="0" applyAlignment="1" applyBorder="1" applyFont="1" applyNumberFormat="1" applyFill="1" applyProtection="1">
      <alignment horizontal="center" vertical="center" wrapText="1"/>
      <protection locked="0"/>
    </xf>
    <xf numFmtId="0" fontId="23" fillId="7" borderId="17" xfId="0" applyAlignment="1" applyBorder="1" applyFont="1" applyNumberFormat="1" applyFill="1" applyProtection="1">
      <alignment horizontal="center" vertical="center" wrapText="1"/>
      <protection locked="0"/>
    </xf>
    <xf numFmtId="0" fontId="23" fillId="7" borderId="52" xfId="0" applyAlignment="1" applyBorder="1" applyFont="1" applyNumberFormat="1" applyFill="1" applyProtection="1">
      <alignment horizontal="center" vertical="center" wrapText="1"/>
      <protection locked="0"/>
    </xf>
    <xf numFmtId="0" fontId="23" fillId="7" borderId="94" xfId="0" applyAlignment="1" applyBorder="1" applyFont="1" applyNumberFormat="1" applyFill="1" applyProtection="1">
      <alignment horizontal="center" vertical="center" wrapText="1"/>
      <protection locked="0"/>
    </xf>
    <xf numFmtId="0" fontId="23" fillId="7" borderId="39" xfId="0" applyAlignment="1" applyBorder="1" applyFont="1" applyNumberFormat="1" applyFill="1" applyProtection="1">
      <alignment horizontal="center" vertical="center" wrapText="1"/>
      <protection locked="0"/>
    </xf>
    <xf numFmtId="0" fontId="14" fillId="3" borderId="52" xfId="0" applyAlignment="1" applyBorder="1" applyFont="1" applyNumberFormat="1" applyFill="1" applyProtection="1">
      <alignment horizontal="center" vertical="center"/>
      <protection locked="0"/>
    </xf>
    <xf numFmtId="0" fontId="14" fillId="3" borderId="94" xfId="0" applyAlignment="1" applyBorder="1" applyFont="1" applyNumberFormat="1" applyFill="1" applyProtection="1">
      <alignment horizontal="center" vertical="center"/>
      <protection locked="0"/>
    </xf>
    <xf numFmtId="0" fontId="14" fillId="3" borderId="39" xfId="0" applyAlignment="1" applyBorder="1" applyFont="1" applyNumberFormat="1" applyFill="1" applyProtection="1">
      <alignment horizontal="center" vertical="center"/>
      <protection locked="0"/>
    </xf>
    <xf numFmtId="0" fontId="14" fillId="0" borderId="96" xfId="0" applyAlignment="1" applyBorder="1" applyFont="1" applyNumberFormat="1" applyProtection="1">
      <alignment horizontal="center" vertical="center"/>
    </xf>
    <xf numFmtId="0" fontId="14" fillId="0" borderId="97" xfId="0" applyAlignment="1" applyBorder="1" applyFont="1" applyNumberFormat="1" applyProtection="1">
      <alignment horizontal="center" vertical="center"/>
    </xf>
    <xf numFmtId="0" fontId="14" fillId="0" borderId="98" xfId="0" applyAlignment="1" applyBorder="1" applyFont="1" applyNumberFormat="1" applyProtection="1">
      <alignment horizontal="center" vertical="center"/>
    </xf>
    <xf numFmtId="0" fontId="14" fillId="0" borderId="71" xfId="0" applyAlignment="1" applyBorder="1" applyFont="1" applyNumberFormat="1" applyProtection="1">
      <alignment horizontal="center" vertical="center"/>
    </xf>
    <xf numFmtId="0" fontId="14" fillId="0" borderId="72" xfId="0" applyAlignment="1" applyBorder="1" applyFont="1" applyNumberFormat="1" applyProtection="1">
      <alignment horizontal="center" vertical="center"/>
    </xf>
    <xf numFmtId="0" fontId="14" fillId="0" borderId="73" xfId="0" applyAlignment="1" applyBorder="1" applyFont="1" applyNumberFormat="1" applyProtection="1">
      <alignment horizontal="center" vertical="center"/>
    </xf>
    <xf numFmtId="0" fontId="9" fillId="5" borderId="54" xfId="0" applyAlignment="1" applyBorder="1" applyFont="1" applyNumberFormat="1" applyFill="1" applyProtection="1">
      <alignment horizontal="center" vertical="center" wrapText="1"/>
      <protection locked="0"/>
    </xf>
    <xf numFmtId="0" fontId="7" fillId="11" borderId="99" xfId="0" applyAlignment="1" applyBorder="1" applyFont="1" applyNumberFormat="1" applyFill="1" applyProtection="1">
      <alignment horizontal="center" vertical="center" wrapText="1"/>
    </xf>
    <xf numFmtId="0" fontId="7" fillId="11" borderId="100" xfId="0" applyAlignment="1" applyBorder="1" applyFont="1" applyNumberFormat="1" applyFill="1" applyProtection="1">
      <alignment horizontal="center" vertical="center" wrapText="1"/>
    </xf>
    <xf numFmtId="0" fontId="7" fillId="11" borderId="101" xfId="0" applyAlignment="1" applyBorder="1" applyFont="1" applyNumberFormat="1" applyFill="1" applyProtection="1">
      <alignment horizontal="center" vertical="center" wrapText="1"/>
    </xf>
    <xf numFmtId="0" fontId="7" fillId="11" borderId="102" xfId="0" applyAlignment="1" applyBorder="1" applyFont="1" applyNumberFormat="1" applyFill="1" applyProtection="1">
      <alignment horizontal="center" vertical="center" wrapText="1"/>
    </xf>
    <xf numFmtId="0" fontId="7" fillId="11" borderId="103" xfId="0" applyAlignment="1" applyBorder="1" applyFont="1" applyNumberFormat="1" applyFill="1" applyProtection="1">
      <alignment horizontal="center" vertical="center" wrapText="1"/>
    </xf>
    <xf numFmtId="0" fontId="7" fillId="11" borderId="104" xfId="0" applyAlignment="1" applyBorder="1" applyFont="1" applyNumberFormat="1" applyFill="1" applyProtection="1">
      <alignment horizontal="center" vertical="center" wrapText="1"/>
    </xf>
    <xf numFmtId="0" fontId="7" fillId="11" borderId="105" xfId="0" applyAlignment="1" applyBorder="1" applyFont="1" applyNumberFormat="1" applyFill="1" applyProtection="1">
      <alignment horizontal="center" vertical="center" wrapText="1"/>
    </xf>
    <xf numFmtId="0" fontId="7" fillId="11" borderId="106" xfId="0" applyAlignment="1" applyBorder="1" applyFont="1" applyNumberFormat="1" applyFill="1" applyProtection="1">
      <alignment horizontal="center" vertical="center" wrapText="1"/>
    </xf>
    <xf numFmtId="0" fontId="10" fillId="12" borderId="107" xfId="0" applyAlignment="1" applyBorder="1" applyFont="1" applyNumberFormat="1" applyFill="1" applyProtection="1">
      <alignment horizontal="center" vertical="center" wrapText="1"/>
    </xf>
    <xf numFmtId="0" fontId="10" fillId="12" borderId="108" xfId="0" applyAlignment="1" applyBorder="1" applyFont="1" applyNumberFormat="1" applyFill="1" applyProtection="1">
      <alignment horizontal="center" vertical="center" wrapText="1"/>
    </xf>
    <xf numFmtId="0" fontId="10" fillId="12" borderId="109" xfId="0" applyAlignment="1" applyBorder="1" applyFont="1" applyNumberFormat="1" applyFill="1" applyProtection="1">
      <alignment horizontal="center" vertical="center" wrapText="1"/>
    </xf>
    <xf numFmtId="0" fontId="10" fillId="12" borderId="41" xfId="0" applyAlignment="1" applyBorder="1" applyFont="1" applyNumberFormat="1" applyFill="1" applyProtection="1">
      <alignment horizontal="center" vertical="center" wrapText="1"/>
    </xf>
    <xf numFmtId="0" fontId="16" fillId="4" borderId="110" xfId="0" applyAlignment="1" applyBorder="1" applyFont="1" applyNumberFormat="1" applyFill="1" applyProtection="1">
      <alignment horizontal="center" vertical="center" wrapText="1"/>
      <protection locked="0"/>
    </xf>
    <xf numFmtId="0" fontId="16" fillId="4" borderId="111" xfId="0" applyAlignment="1" applyBorder="1" applyFont="1" applyNumberFormat="1" applyFill="1" applyProtection="1">
      <alignment horizontal="center" vertical="center" wrapText="1"/>
      <protection locked="0"/>
    </xf>
    <xf numFmtId="0" fontId="16" fillId="4" borderId="112" xfId="0" applyAlignment="1" applyBorder="1" applyFont="1" applyNumberFormat="1" applyFill="1" applyProtection="1">
      <alignment horizontal="center" vertical="center" wrapText="1"/>
      <protection locked="0"/>
    </xf>
    <xf numFmtId="0" fontId="5" fillId="7" borderId="113" xfId="0" applyAlignment="1" applyBorder="1" applyFont="1" applyNumberFormat="1" applyFill="1" applyProtection="1">
      <alignment horizontal="center" vertical="center" wrapText="1"/>
    </xf>
    <xf numFmtId="0" fontId="5" fillId="7" borderId="67" xfId="0" applyAlignment="1" applyBorder="1" applyFont="1" applyNumberFormat="1" applyFill="1" applyProtection="1">
      <alignment horizontal="center" vertical="center" wrapText="1"/>
    </xf>
    <xf numFmtId="0" fontId="12" fillId="13" borderId="71" xfId="0" applyAlignment="1" applyBorder="1" applyFont="1" applyNumberFormat="1" applyFill="1" applyProtection="1">
      <alignment horizontal="center" vertical="center" wrapText="1"/>
    </xf>
    <xf numFmtId="0" fontId="12" fillId="13" borderId="73" xfId="0" applyAlignment="1" applyBorder="1" applyFont="1" applyNumberFormat="1" applyFill="1" applyProtection="1">
      <alignment horizontal="center" vertical="center" wrapText="1"/>
    </xf>
    <xf numFmtId="0" fontId="7" fillId="0" borderId="114" xfId="0" applyAlignment="1" applyBorder="1" applyFont="1" applyNumberFormat="1" applyProtection="1">
      <alignment horizontal="left" vertical="center" wrapText="1"/>
    </xf>
    <xf numFmtId="0" fontId="7" fillId="0" borderId="64" xfId="0" applyAlignment="1" applyBorder="1" applyFont="1" applyNumberFormat="1" applyProtection="1">
      <alignment horizontal="left" vertical="center" wrapText="1"/>
    </xf>
    <xf numFmtId="0" fontId="14" fillId="7" borderId="52" xfId="0" applyAlignment="1" applyBorder="1" applyFont="1" applyNumberFormat="1" applyFill="1" applyProtection="1">
      <alignment horizontal="center" vertical="center" wrapText="1"/>
      <protection locked="0"/>
    </xf>
    <xf numFmtId="0" fontId="14" fillId="7" borderId="94" xfId="0" applyAlignment="1" applyBorder="1" applyFont="1" applyNumberFormat="1" applyFill="1" applyProtection="1">
      <alignment horizontal="center" vertical="center" wrapText="1"/>
      <protection locked="0"/>
    </xf>
    <xf numFmtId="0" fontId="14" fillId="7" borderId="39" xfId="0" applyAlignment="1" applyBorder="1" applyFont="1" applyNumberFormat="1" applyFill="1" applyProtection="1">
      <alignment horizontal="center" vertical="center" wrapText="1"/>
      <protection locked="0"/>
    </xf>
    <xf numFmtId="0" fontId="14" fillId="0" borderId="71" xfId="0" applyAlignment="1" applyBorder="1" applyFont="1" applyNumberFormat="1" applyProtection="1">
      <alignment horizontal="left" vertical="center" wrapText="1"/>
    </xf>
    <xf numFmtId="0" fontId="14" fillId="0" borderId="72" xfId="0" applyAlignment="1" applyBorder="1" applyFont="1" applyNumberFormat="1" applyProtection="1">
      <alignment horizontal="left" vertical="center" wrapText="1"/>
    </xf>
    <xf numFmtId="0" fontId="14" fillId="0" borderId="73" xfId="0" applyAlignment="1" applyBorder="1" applyFont="1" applyNumberFormat="1" applyProtection="1">
      <alignment horizontal="left" vertical="center" wrapText="1"/>
    </xf>
    <xf numFmtId="0" fontId="17" fillId="17" borderId="110" xfId="0" applyAlignment="1" applyBorder="1" applyFont="1" applyNumberFormat="1" applyFill="1" applyProtection="1">
      <alignment horizontal="center" vertical="center" wrapText="1"/>
    </xf>
    <xf numFmtId="0" fontId="17" fillId="17" borderId="112" xfId="0" applyAlignment="1" applyBorder="1" applyFont="1" applyNumberFormat="1" applyFill="1" applyProtection="1">
      <alignment horizontal="center" vertical="center" wrapText="1"/>
    </xf>
    <xf numFmtId="0" fontId="19" fillId="17" borderId="31" xfId="0" applyAlignment="1" applyBorder="1" applyFont="1" applyNumberFormat="1" applyFill="1" applyProtection="1">
      <alignment horizontal="center" vertical="center"/>
    </xf>
    <xf numFmtId="0" fontId="19" fillId="17" borderId="17" xfId="0" applyAlignment="1" applyBorder="1" applyFont="1" applyNumberFormat="1" applyFill="1" applyProtection="1">
      <alignment horizontal="center" vertical="center"/>
    </xf>
  </cellXfs>
  <cellStyles count="2">
    <cellStyle name="Normal" xfId="0" builtinId="0"/>
    <cellStyle name="Percent" xfId="1" builtinId="5"/>
  </cellStyles>
  <dxfs/>
  <tableStyles count="0" defaultTableStyle="TableStyleMedium2" defaultPivotStyle="PivotStyleLight16"/>
</styleSheet>
</file>

<file path=xl/_rels/workbook.xml.rels><?xml version="1.0" encoding="utf-8" standalone="yes"?><Relationships xmlns="http://schemas.openxmlformats.org/package/2006/relationships"><Relationship Id="rId8" Type="http://schemas.openxmlformats.org/officeDocument/2006/relationships/sharedStrings" Target="sharedStrings.xml" /><Relationship Id="rId4" Type="http://schemas.openxmlformats.org/officeDocument/2006/relationships/worksheet" Target="worksheets/sheet4.xml" /><Relationship Id="rId7" Type="http://schemas.openxmlformats.org/officeDocument/2006/relationships/styles" Target="styles.xml" /><Relationship Id="rId5" Type="http://schemas.openxmlformats.org/officeDocument/2006/relationships/externalLink" Target="/xl/externalLinks/externalLink1.xml" /><Relationship Id="rId6" Type="http://schemas.openxmlformats.org/officeDocument/2006/relationships/theme" Target="theme/theme1.xml" /><Relationship Id="rId2" Type="http://schemas.openxmlformats.org/officeDocument/2006/relationships/worksheet" Target="worksheets/sheet2.xml" /><Relationship Id="rId10" Type="http://schemas.microsoft.com/office/2006/relationships/vbaProject" Target="vbaProject.bin" /><Relationship Id="rId3" Type="http://schemas.openxmlformats.org/officeDocument/2006/relationships/worksheet" Target="worksheets/sheet3.xml" /><Relationship Id="rId1" Type="http://schemas.openxmlformats.org/officeDocument/2006/relationships/worksheet" Target="worksheets/sheet1.xml" /></Relationships>
</file>

<file path=xl/drawings/_rels/drawing1.xml.rels><?xml version="1.0" encoding="utf-8" standalone="yes"?><Relationships xmlns="http://schemas.openxmlformats.org/package/2006/relationships"><Relationship Id="rId1" Type="http://schemas.openxmlformats.org/officeDocument/2006/relationships/image" Target="/xl/media/image1.png" /><Relationship Id="rId2" Type="http://schemas.openxmlformats.org/officeDocument/2006/relationships/image" Target="/xl/media/image2.jpeg" /></Relationships>
</file>

<file path=xl/drawings/drawing1.xml><?xml version="1.0" encoding="utf-8"?>
<xdr:wsDr xmlns:xdr="http://schemas.openxmlformats.org/drawingml/2006/spreadsheetDrawing" xmlns:a="http://schemas.openxmlformats.org/drawingml/2006/main">
  <xdr:twoCellAnchor editAs="oneCell">
    <xdr:from>
      <xdr:col>1</xdr:col>
      <xdr:colOff>109417</xdr:colOff>
      <xdr:row>0</xdr:row>
      <xdr:rowOff>39052</xdr:rowOff>
    </xdr:from>
    <xdr:to>
      <xdr:col>1</xdr:col>
      <xdr:colOff>376879</xdr:colOff>
      <xdr:row>0</xdr:row>
      <xdr:rowOff>552450</xdr:rowOff>
    </xdr:to>
    <xdr:pic macro="">
      <xdr:nvPicPr>
        <xdr:cNvPr id="2" name="Picture 1">
          <a:extLst xmlns:a="http://schemas.openxmlformats.org/drawingml/2006/main">
            <a:ext uri="{FF2B5EF4-FFF2-40B4-BE49-F238E27FC236}">
              <a16:creationId xmlns:a16="http://schemas.microsoft.com/office/drawing/2014/main" id="{00000000-0008-0000-0000-000002000000}"/>
            </a:ext>
          </a:extLst>
        </xdr:cNvPr>
        <xdr:cNvPicPr>
          <a:picLocks noChangeAspect="1"/>
        </xdr:cNvPicPr>
      </xdr:nvPicPr>
      <xdr:blipFill>
        <a:blip xmlns:d5p1="http://schemas.openxmlformats.org/officeDocument/2006/relationships" d5p1:embed="rId1">
          <a:extLst>
            <a:ext uri="{28A0092B-C50C-407E-A947-70E740481C1C}">
              <a14:useLocalDpi xmlns:a14="http://schemas.microsoft.com/office/drawing/2010/main" val="0"/>
            </a:ext>
          </a:extLst>
        </a:blip>
        <a:srcRect xmlns:a="http://schemas.openxmlformats.org/drawingml/2006/main"/>
        <a:stretch>
          <a:fillRect/>
        </a:stretch>
      </xdr:blipFill>
      <xdr:spPr>
        <a:xfrm>
          <a:off x="409575" y="38101"/>
          <a:ext cx="275993" cy="275993"/>
        </a:xfrm>
        <a:prstGeom xmlns:a="http://schemas.openxmlformats.org/drawingml/2006/main" prst="rect">
          <a:avLst/>
        </a:prstGeom>
        <a:noFill/>
      </xdr:spPr>
    </xdr:pic>
    <xdr:clientData/>
  </xdr:twoCellAnchor>
  <xdr:twoCellAnchor editAs="oneCell">
    <xdr:from>
      <xdr:col>1</xdr:col>
      <xdr:colOff>11330694</xdr:colOff>
      <xdr:row>0</xdr:row>
      <xdr:rowOff>39052</xdr:rowOff>
    </xdr:from>
    <xdr:to>
      <xdr:col>1</xdr:col>
      <xdr:colOff>12339758</xdr:colOff>
      <xdr:row>0</xdr:row>
      <xdr:rowOff>581977</xdr:rowOff>
    </xdr:to>
    <xdr:pic macro="">
      <xdr:nvPicPr>
        <xdr:cNvPr id="3" name="Picture 2">
          <a:extLst xmlns:a="http://schemas.openxmlformats.org/drawingml/2006/main">
            <a:ext uri="{FF2B5EF4-FFF2-40B4-BE49-F238E27FC236}">
              <a16:creationId xmlns:a16="http://schemas.microsoft.com/office/drawing/2014/main" id="{00000000-0008-0000-0000-000003000000}"/>
            </a:ext>
          </a:extLst>
        </xdr:cNvPr>
        <xdr:cNvPicPr>
          <a:picLocks noChangeAspect="1"/>
        </xdr:cNvPicPr>
      </xdr:nvPicPr>
      <xdr:blipFill>
        <a:blip xmlns:d5p1="http://schemas.openxmlformats.org/officeDocument/2006/relationships" d5p1:embed="rId2">
          <a:extLst>
            <a:ext uri="{28A0092B-C50C-407E-A947-70E740481C1C}">
              <a14:useLocalDpi xmlns:a14="http://schemas.microsoft.com/office/drawing/2010/main" val="0"/>
            </a:ext>
          </a:extLst>
        </a:blip>
        <a:srcRect/>
        <a:stretch>
          <a:fillRect/>
        </a:stretch>
      </xdr:blipFill>
      <xdr:spPr>
        <a:xfrm>
          <a:off x="11639289" y="38100"/>
          <a:ext cx="1009912" cy="1009912"/>
        </a:xfrm>
        <a:prstGeom xmlns:a="http://schemas.openxmlformats.org/drawingml/2006/main"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785533</xdr:colOff>
      <xdr:row>2</xdr:row>
      <xdr:rowOff>589597</xdr:rowOff>
    </xdr:from>
    <xdr:to>
      <xdr:col>8</xdr:col>
      <xdr:colOff>701194</xdr:colOff>
      <xdr:row>2</xdr:row>
      <xdr:rowOff>879157</xdr:rowOff>
    </xdr:to>
    <xdr:sp macro="[0]!Sheet1.CreateJson" textlink="">
      <xdr:nvSpPr>
        <xdr:cNvPr id="2" name="Rounded Rectangle 1"/>
        <xdr:cNvSpPr/>
      </xdr:nvSpPr>
      <xdr:spPr>
        <a:xfrm>
          <a:off x="10892899" y="1003303"/>
          <a:ext cx="1343820" cy="287864"/>
        </a:xfrm>
        <a:prstGeom prst="roundRect">
          <a:avLst xmlns:a="http://schemas.openxmlformats.org/drawingml/2006/main"/>
        </a:prstGeom>
        <a:solidFill xmlns:a="http://schemas.openxmlformats.org/drawingml/2006/main">
          <a:schemeClr val="accent5">
            <a:lumMod val="50000"/>
          </a:schemeClr>
        </a:solidFill>
        <a:ln xmlns:a="http://schemas.openxmlformats.org/drawingml/2006/main">
          <a:solidFill>
            <a:schemeClr val="accent5">
              <a:lumMod val="50000"/>
            </a:schemeClr>
          </a:solidFill>
        </a:ln>
        <a:effectLst xmlns:a="http://schemas.openxmlformats.org/drawingml/2006/main">
          <a:outerShdw blurRad="152400" dist="88900" dir="5400000" sx="90000" sy="-19000" rotWithShape="0">
            <a:prstClr val="black">
              <a:alpha val="26000"/>
            </a:prstClr>
          </a:outerShdw>
        </a:effectLst>
        <a:scene3d xmlns:a="http://schemas.openxmlformats.org/drawingml/2006/main">
          <a:camera prst="orthographicFront"/>
          <a:lightRig rig="threePt" dir="t"/>
        </a:scene3d>
        <a:sp3d xmlns:a="http://schemas.openxmlformats.org/drawingml/2006/main">
          <a:bevelT w="165100" prst="coolSlant"/>
        </a:sp3d>
      </xdr:spPr>
      <xdr:style xmlns:xdr="http://schemas.openxmlformats.org/drawingml/2006/spreadsheetDrawing">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xmlns:xdr="http://schemas.openxmlformats.org/drawingml/2006/spreadsheetDrawing">
        <a:bodyPr xmlns:a="http://schemas.openxmlformats.org/drawingml/2006/main" vertOverflow="clip" horzOverflow="clip" rtlCol="0" anchor="ctr"/>
        <a:lstStyle xmlns:a="http://schemas.openxmlformats.org/drawingml/2006/main"/>
        <a:p xmlns:a="http://schemas.openxmlformats.org/drawingml/2006/main">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785533</xdr:colOff>
      <xdr:row>2</xdr:row>
      <xdr:rowOff>265747</xdr:rowOff>
    </xdr:from>
    <xdr:to>
      <xdr:col>8</xdr:col>
      <xdr:colOff>692600</xdr:colOff>
      <xdr:row>2</xdr:row>
      <xdr:rowOff>523875</xdr:rowOff>
    </xdr:to>
    <xdr:sp macro="[0]!Sheet1.ValidateJson" textlink="">
      <xdr:nvSpPr>
        <xdr:cNvPr id="3" name="Rounded Rectangle 2"/>
        <xdr:cNvSpPr/>
      </xdr:nvSpPr>
      <xdr:spPr>
        <a:xfrm>
          <a:off x="10894218" y="682716"/>
          <a:ext cx="1335882" cy="257878"/>
        </a:xfrm>
        <a:prstGeom prst="roundRect">
          <a:avLst xmlns:a="http://schemas.openxmlformats.org/drawingml/2006/main"/>
        </a:prstGeom>
        <a:solidFill xmlns:a="http://schemas.openxmlformats.org/drawingml/2006/main">
          <a:schemeClr val="accent5">
            <a:lumMod val="50000"/>
          </a:schemeClr>
        </a:solidFill>
        <a:ln xmlns:a="http://schemas.openxmlformats.org/drawingml/2006/main">
          <a:solidFill>
            <a:schemeClr val="accent5">
              <a:lumMod val="50000"/>
            </a:schemeClr>
          </a:solidFill>
        </a:ln>
        <a:effectLst xmlns:a="http://schemas.openxmlformats.org/drawingml/2006/main">
          <a:outerShdw blurRad="152400" dist="88900" dir="5400000" sx="90000" sy="-19000" rotWithShape="0">
            <a:prstClr val="black">
              <a:alpha val="26000"/>
            </a:prstClr>
          </a:outerShdw>
        </a:effectLst>
        <a:scene3d xmlns:a="http://schemas.openxmlformats.org/drawingml/2006/main">
          <a:camera prst="orthographicFront"/>
          <a:lightRig rig="threePt" dir="t"/>
        </a:scene3d>
        <a:sp3d xmlns:a="http://schemas.openxmlformats.org/drawingml/2006/main">
          <a:bevelT w="165100" prst="coolSlant"/>
        </a:sp3d>
      </xdr:spPr>
      <xdr:style xmlns:xdr="http://schemas.openxmlformats.org/drawingml/2006/spreadsheetDrawing">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xmlns:xdr="http://schemas.openxmlformats.org/drawingml/2006/spreadsheetDrawing">
        <a:bodyPr xmlns:a="http://schemas.openxmlformats.org/drawingml/2006/main" vertOverflow="clip" horzOverflow="clip" rtlCol="0" anchor="ctr"/>
        <a:lstStyle xmlns:a="http://schemas.openxmlformats.org/drawingml/2006/main"/>
        <a:p xmlns:a="http://schemas.openxmlformats.org/drawingml/2006/main">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775767</xdr:colOff>
      <xdr:row>1</xdr:row>
      <xdr:rowOff>106680</xdr:rowOff>
    </xdr:from>
    <xdr:to>
      <xdr:col>8</xdr:col>
      <xdr:colOff>706924</xdr:colOff>
      <xdr:row>2</xdr:row>
      <xdr:rowOff>202882</xdr:rowOff>
    </xdr:to>
    <xdr:sp macro="[0]!Sheet1.ClearAll" textlink="">
      <xdr:nvSpPr>
        <xdr:cNvPr id="5" name="Rounded Rectangle 4"/>
        <xdr:cNvSpPr/>
      </xdr:nvSpPr>
      <xdr:spPr>
        <a:xfrm>
          <a:off x="10882313" y="316706"/>
          <a:ext cx="1359693" cy="295275"/>
        </a:xfrm>
        <a:prstGeom prst="roundRect">
          <a:avLst xmlns:a="http://schemas.openxmlformats.org/drawingml/2006/main"/>
        </a:prstGeom>
        <a:solidFill xmlns:a="http://schemas.openxmlformats.org/drawingml/2006/main">
          <a:schemeClr val="accent5">
            <a:lumMod val="50000"/>
          </a:schemeClr>
        </a:solidFill>
        <a:ln xmlns:a="http://schemas.openxmlformats.org/drawingml/2006/main">
          <a:solidFill>
            <a:schemeClr val="accent5">
              <a:lumMod val="50000"/>
            </a:schemeClr>
          </a:solidFill>
        </a:ln>
        <a:effectLst xmlns:a="http://schemas.openxmlformats.org/drawingml/2006/main">
          <a:outerShdw blurRad="152400" dist="88900" dir="5400000" sx="90000" sy="-19000" rotWithShape="0">
            <a:prstClr val="black">
              <a:alpha val="26000"/>
            </a:prstClr>
          </a:outerShdw>
        </a:effectLst>
        <a:scene3d xmlns:a="http://schemas.openxmlformats.org/drawingml/2006/main">
          <a:camera prst="orthographicFront"/>
          <a:lightRig rig="threePt" dir="t"/>
        </a:scene3d>
        <a:sp3d xmlns:a="http://schemas.openxmlformats.org/drawingml/2006/main">
          <a:bevelT w="165100" prst="coolSlant"/>
        </a:sp3d>
      </xdr:spPr>
      <xdr:style xmlns:xdr="http://schemas.openxmlformats.org/drawingml/2006/spreadsheetDrawing">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xdr:style>
      <xdr:txBody xmlns:xdr="http://schemas.openxmlformats.org/drawingml/2006/spreadsheetDrawing">
        <a:bodyPr xmlns:a="http://schemas.openxmlformats.org/drawingml/2006/main" vertOverflow="clip" horzOverflow="clip" rtlCol="0" anchor="ctr"/>
        <a:lstStyle xmlns:a="http://schemas.openxmlformats.org/drawingml/2006/main"/>
        <a:p xmlns:a="http://schemas.openxmlformats.org/drawingml/2006/main">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 /></Relationships>
</file>

<file path=xl/externalLinks/externalLink1.xml><?xml version="1.0" encoding="utf-8"?>
<externalLink xmlns="http://schemas.openxmlformats.org/spreadsheetml/2006/main">
  <externalBook xmlns:d2p1="http://schemas.openxmlformats.org/officeDocument/2006/relationships" d2p1: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2" Type="http://schemas.openxmlformats.org/officeDocument/2006/relationships/drawing" Target="/xl/drawings/drawing1.xml" /><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3" Type="http://schemas.openxmlformats.org/officeDocument/2006/relationships/vmlDrawing" Target="/xl/drawings/vmlDrawing1.vml" /><Relationship Id="rId2" Type="http://schemas.openxmlformats.org/officeDocument/2006/relationships/drawing" Target="/xl/drawings/drawing2.xml" /><Relationship Id="rId1" Type="http://schemas.openxmlformats.org/officeDocument/2006/relationships/printerSettings" Target="../printerSettings/printerSettings2.bin" /><Relationship Id="rId4" Type="http://schemas.openxmlformats.org/officeDocument/2006/relationships/comments" Target="/xl/comments1.xml"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4.bin" /></Relationships>
</file>

<file path=xl/worksheets/sheet1.xml><?xml version="1.0" encoding="utf-8"?>
<worksheet xmlns:r="http://schemas.openxmlformats.org/officeDocument/2006/relationships" xmlns:x14="http://schemas.microsoft.com/office/spreadsheetml/2009/9/main" xmlns:mc="http://schemas.openxmlformats.org/markup-compatibility/2006" xmlns:xdr="http://schemas.openxmlformats.org/drawingml/2006/spreadsheetDrawing" xmlns="http://schemas.openxmlformats.org/spreadsheetml/2006/main">
  <sheetPr codeName="Sheet3"/>
  <dimension ref="B1:B13"/>
  <sheetViews>
    <sheetView topLeftCell="B1" showGridLines="0" view="normal" workbookViewId="0">
      <selection pane="topLeft" activeCell="B4" sqref="B4"/>
    </sheetView>
  </sheetViews>
  <sheetFormatPr defaultColWidth="0" zeroHeight="true" customHeight="true" defaultRowHeight="15"/>
  <cols>
    <col min="1" max="1" width="4.5703125" customWidth="1"/>
    <col min="2" max="2" width="186.7109375" customWidth="1"/>
    <col min="3" max="3" width="9.140625" customWidth="1"/>
    <col min="4" max="16384" width="9.140625" hidden="1" customWidth="1"/>
  </cols>
  <sheetData>
    <row r="1" spans="2:2" ht="49.5" customHeight="1">
      <c r="B1" s="118" t="s">
        <v>94</v>
      </c>
    </row>
    <row r="2"/>
    <row r="3" spans="2:2">
      <c r="B3" s="116" t="s">
        <v>95</v>
      </c>
    </row>
    <row r="4" spans="2:2" ht="294" customHeight="1">
      <c r="B4" s="117" t="s">
        <v>98</v>
      </c>
    </row>
    <row r="5"/>
    <row r="6" spans="2:2">
      <c r="B6" s="116" t="s">
        <v>96</v>
      </c>
    </row>
    <row r="7" spans="2:2" ht="261.75" customHeight="1">
      <c r="B7" s="115" t="s">
        <v>99</v>
      </c>
    </row>
    <row r="8"/>
    <row r="9" spans="2:2">
      <c r="B9" s="116" t="s">
        <v>93</v>
      </c>
    </row>
    <row r="10" spans="2:2" ht="128.25" customHeight="1">
      <c r="B10" s="115" t="s">
        <v>97</v>
      </c>
    </row>
    <row r="11"/>
    <row r="12" spans="2:2">
      <c r="B12" s="116"/>
    </row>
    <row r="13"/>
  </sheetData>
  <pageMargins left="0.7" right="0.7" top="0.75" bottom="0.75" header="0.3" footer="0.3"/>
  <pageSetup paperSize="9" orientation="portrait"/>
  <headerFooter scaleWithDoc="1" alignWithMargins="0" differentFirst="0" differentOddEven="0"/>
  <drawing r:id="rId2"/>
  <extLst/>
</worksheet>
</file>

<file path=xl/worksheets/sheet2.xml><?xml version="1.0" encoding="utf-8"?>
<worksheet xmlns:r="http://schemas.openxmlformats.org/officeDocument/2006/relationships" xmlns:x14="http://schemas.microsoft.com/office/spreadsheetml/2009/9/main" xmlns:mc="http://schemas.openxmlformats.org/markup-compatibility/2006" xmlns:xdr="http://schemas.openxmlformats.org/drawingml/2006/spreadsheetDrawing" xmlns="http://schemas.openxmlformats.org/spreadsheetml/2006/main">
  <sheetPr codeName="Sheet1"/>
  <dimension ref="A1:M118"/>
  <sheetViews>
    <sheetView topLeftCell="A1" showGridLines="0" zoomScale="70" view="normal" tabSelected="1" workbookViewId="0">
      <pane ySplit="3" topLeftCell="A27" activePane="bottomLeft" state="frozen"/>
      <selection pane="bottomLeft" activeCell="F28" sqref="F28"/>
    </sheetView>
  </sheetViews>
  <sheetFormatPr defaultColWidth="0" zeroHeight="true" defaultRowHeight="15.75"/>
  <cols>
    <col min="1" max="1" width="4.5703125" style="92" customWidth="1"/>
    <col min="2" max="2" width="45.140625" style="4" customWidth="1"/>
    <col min="3" max="3" width="20.7109375" style="4" customWidth="1"/>
    <col min="4" max="4" width="21.27734375" style="4" customWidth="1"/>
    <col min="5" max="5" width="19.84765625" style="4" customWidth="1"/>
    <col min="6" max="6" width="20.140625" style="4" customWidth="1"/>
    <col min="7" max="7" width="19.84765625" style="4" customWidth="1"/>
    <col min="8" max="8" width="21.41796875" style="4" bestFit="1" customWidth="1"/>
    <col min="9" max="9" width="11" style="4" customWidth="1"/>
    <col min="10" max="10" width="11.7109375" style="4" customWidth="1"/>
    <col min="11" max="11" width="9.140625" style="4" customWidth="1"/>
    <col min="12" max="12" width="1.56640625" style="4" customWidth="1"/>
    <col min="13" max="13" width="9.140625" style="4" customWidth="1"/>
    <col min="14" max="16384" width="9.140625" style="4" hidden="1" customWidth="1"/>
  </cols>
  <sheetData>
    <row r="1" spans="2:13" ht="16.5" thickBot="1">
      <c r="B1" s="92"/>
      <c r="C1" s="92"/>
      <c r="D1" s="92"/>
      <c r="E1" s="92"/>
      <c r="F1" s="92"/>
      <c r="G1" s="92"/>
      <c r="H1" s="92"/>
      <c r="I1" s="92"/>
      <c r="J1" s="92"/>
      <c r="K1" s="92"/>
      <c r="L1" s="92"/>
      <c r="M1" s="92"/>
    </row>
    <row r="2" spans="2:13" customHeight="1">
      <c r="B2" s="141" t="s">
        <v>90</v>
      </c>
      <c r="C2" s="142"/>
      <c r="D2" s="142"/>
      <c r="E2" s="142"/>
      <c r="F2" s="142"/>
      <c r="G2" s="142"/>
      <c r="H2" s="142"/>
      <c r="I2" s="142"/>
      <c r="J2" s="142"/>
      <c r="K2" s="142"/>
      <c r="L2" s="143"/>
      <c r="M2" s="92"/>
    </row>
    <row r="3" spans="2:13" ht="78.75" customHeight="1" thickBot="1">
      <c r="B3" s="144"/>
      <c r="C3" s="145"/>
      <c r="D3" s="145"/>
      <c r="E3" s="145"/>
      <c r="F3" s="145"/>
      <c r="G3" s="145"/>
      <c r="H3" s="145"/>
      <c r="I3" s="145"/>
      <c r="J3" s="145"/>
      <c r="K3" s="145"/>
      <c r="L3" s="146"/>
      <c r="M3" s="92"/>
    </row>
    <row r="4" spans="2:13" ht="16.5" customHeight="1" thickBot="1">
      <c r="B4" s="96"/>
      <c r="C4" s="96"/>
      <c r="D4" s="96"/>
      <c r="E4" s="96"/>
      <c r="F4" s="96"/>
      <c r="G4" s="96"/>
      <c r="H4" s="96"/>
      <c r="I4" s="96"/>
      <c r="J4" s="92"/>
      <c r="K4" s="92"/>
      <c r="L4" s="92"/>
      <c r="M4" s="92"/>
    </row>
    <row r="5" spans="2:13" ht="16.5" thickBot="1">
      <c r="B5" s="57" t="s">
        <v>73</v>
      </c>
      <c r="C5" s="175" t="s">
        <v>115</v>
      </c>
      <c r="D5" s="175"/>
      <c r="E5" s="176" t="s">
        <v>20</v>
      </c>
      <c r="F5" s="177"/>
      <c r="G5" s="5" t="s">
        <v>118</v>
      </c>
      <c r="H5" s="147" t="s">
        <v>85</v>
      </c>
      <c r="I5" s="149" t="s">
        <v>107</v>
      </c>
      <c r="J5" s="150"/>
      <c r="K5" s="92"/>
      <c r="L5" s="92"/>
      <c r="M5" s="92"/>
    </row>
    <row r="6" spans="2:13" ht="17.25" thickTop="1" thickBot="1">
      <c r="B6" s="58" t="s">
        <v>74</v>
      </c>
      <c r="C6" s="6" t="s">
        <v>116</v>
      </c>
      <c r="D6" s="6"/>
      <c r="E6" s="178" t="s">
        <v>21</v>
      </c>
      <c r="F6" s="179"/>
      <c r="G6" s="6" t="s">
        <v>117</v>
      </c>
      <c r="H6" s="148"/>
      <c r="I6" s="151"/>
      <c r="J6" s="152"/>
      <c r="K6" s="92"/>
      <c r="L6" s="92"/>
      <c r="M6" s="92"/>
    </row>
    <row r="7" spans="2:13" s="92" customFormat="1" ht="16.5" thickBot="1">
      <c r="B7" s="97"/>
      <c r="C7" s="97"/>
      <c r="D7" s="98"/>
      <c r="E7" s="97"/>
      <c r="F7" s="97"/>
      <c r="G7" s="97"/>
      <c r="H7" s="97" t="s">
        <v>108</v>
      </c>
      <c r="I7" s="97"/>
      <c r="J7" s="97"/>
      <c r="K7" s="97"/>
      <c r="L7" s="97"/>
      <c r="M7" s="97"/>
    </row>
    <row r="8" spans="2:13" ht="21" customHeight="1" thickBot="1">
      <c r="B8" s="199" t="s">
        <v>80</v>
      </c>
      <c r="C8" s="200"/>
      <c r="D8" s="200"/>
      <c r="E8" s="200"/>
      <c r="F8" s="200"/>
      <c r="G8" s="201"/>
      <c r="H8" s="92"/>
      <c r="I8" s="92"/>
      <c r="J8" s="92"/>
      <c r="K8" s="92"/>
      <c r="L8" s="92"/>
      <c r="M8" s="92"/>
    </row>
    <row r="9" spans="2:13" ht="48.75" customHeight="1" thickBot="1">
      <c r="B9" s="59" t="s">
        <v>0</v>
      </c>
      <c r="C9" s="60" t="s">
        <v>1</v>
      </c>
      <c r="D9" s="60" t="s">
        <v>2</v>
      </c>
      <c r="E9" s="60" t="s">
        <v>3</v>
      </c>
      <c r="F9" s="60" t="s">
        <v>4</v>
      </c>
      <c r="G9" s="60" t="s">
        <v>5</v>
      </c>
      <c r="H9" s="92"/>
      <c r="I9" s="92"/>
      <c r="J9" s="92"/>
      <c r="K9" s="92"/>
      <c r="L9" s="92"/>
      <c r="M9" s="92"/>
    </row>
    <row r="10" spans="2:13" ht="16.5" thickBot="1">
      <c r="B10" s="61">
        <v>1</v>
      </c>
      <c r="C10" s="62">
        <v>2</v>
      </c>
      <c r="D10" s="62">
        <v>3</v>
      </c>
      <c r="E10" s="62">
        <v>4</v>
      </c>
      <c r="F10" s="62">
        <v>5</v>
      </c>
      <c r="G10" s="63">
        <v>6</v>
      </c>
      <c r="H10" s="92"/>
      <c r="I10" s="92"/>
      <c r="J10" s="92"/>
      <c r="K10" s="92"/>
      <c r="L10" s="92"/>
      <c r="M10" s="92"/>
    </row>
    <row r="11" spans="2:13" ht="31.5">
      <c r="B11" s="64" t="s">
        <v>92</v>
      </c>
      <c r="C11" s="120">
        <v>13175246.07</v>
      </c>
      <c r="D11" s="120">
        <v>595728.9</v>
      </c>
      <c r="E11" s="120">
        <v>31523</v>
      </c>
      <c r="F11" s="121">
        <v>31523</v>
      </c>
      <c r="G11" s="120">
        <v>0</v>
      </c>
      <c r="H11" s="92"/>
      <c r="I11" s="92"/>
      <c r="J11" s="92"/>
      <c r="K11" s="92"/>
      <c r="L11" s="92"/>
      <c r="M11" s="92"/>
    </row>
    <row r="12" spans="2:13">
      <c r="B12" s="65" t="s">
        <v>6</v>
      </c>
      <c r="C12" s="120">
        <v>0</v>
      </c>
      <c r="D12" s="120">
        <v>0</v>
      </c>
      <c r="E12" s="206"/>
      <c r="F12" s="207"/>
      <c r="G12" s="120">
        <v>0</v>
      </c>
      <c r="H12" s="92"/>
      <c r="I12" s="92"/>
      <c r="J12" s="92"/>
      <c r="K12" s="92"/>
      <c r="L12" s="92"/>
      <c r="M12" s="92"/>
    </row>
    <row r="13" spans="2:13" ht="31.5">
      <c r="B13" s="65" t="s">
        <v>22</v>
      </c>
      <c r="C13" s="120">
        <v>0</v>
      </c>
      <c r="D13" s="208"/>
      <c r="E13" s="209"/>
      <c r="F13" s="209"/>
      <c r="G13" s="210"/>
      <c r="H13" s="92"/>
      <c r="I13" s="92"/>
      <c r="J13" s="92"/>
      <c r="K13" s="92"/>
      <c r="L13" s="92"/>
      <c r="M13" s="92"/>
    </row>
    <row r="14" spans="2:13">
      <c r="B14" s="65" t="s">
        <v>23</v>
      </c>
      <c r="C14" s="120">
        <v>118230</v>
      </c>
      <c r="D14" s="120">
        <v>32</v>
      </c>
      <c r="E14" s="120">
        <v>2943</v>
      </c>
      <c r="F14" s="122">
        <v>2943</v>
      </c>
      <c r="G14" s="120">
        <v>0</v>
      </c>
      <c r="H14" s="92"/>
      <c r="I14" s="92"/>
      <c r="J14" s="92"/>
      <c r="K14" s="92"/>
      <c r="L14" s="92"/>
      <c r="M14" s="92"/>
    </row>
    <row r="15" spans="2:13" ht="16.5" thickBot="1">
      <c r="B15" s="66" t="s">
        <v>24</v>
      </c>
      <c r="C15" s="120">
        <v>0</v>
      </c>
      <c r="D15" s="211"/>
      <c r="E15" s="212"/>
      <c r="F15" s="212"/>
      <c r="G15" s="213"/>
      <c r="H15" s="92"/>
      <c r="I15" s="92"/>
      <c r="J15" s="92"/>
      <c r="K15" s="92"/>
      <c r="L15" s="92"/>
      <c r="M15" s="92"/>
    </row>
    <row r="16" spans="2:13" ht="16.5" thickBot="1">
      <c r="B16" s="67" t="s">
        <v>89</v>
      </c>
      <c r="C16" s="119">
        <f ca="1">SUM(C11:C15)</f>
        <v>0</v>
      </c>
      <c r="D16" s="123">
        <f ca="1">SUM(D11:D12) + D14</f>
        <v>0</v>
      </c>
      <c r="E16" s="123">
        <f ca="1">E11 + E14</f>
        <v>0</v>
      </c>
      <c r="F16" s="123">
        <f ca="1">F11 + F14</f>
        <v>0</v>
      </c>
      <c r="G16" s="124">
        <f ca="1">SUM(G11:G12) + G14</f>
        <v>0</v>
      </c>
      <c r="H16" s="92"/>
      <c r="I16" s="92"/>
      <c r="J16" s="92"/>
      <c r="K16" s="92"/>
      <c r="L16" s="92"/>
      <c r="M16" s="92"/>
    </row>
    <row r="17" s="92" customFormat="1" ht="16.5" thickBot="1"/>
    <row r="18" spans="2:13" ht="21.75" customHeight="1" thickBot="1">
      <c r="B18" s="202" t="s">
        <v>81</v>
      </c>
      <c r="C18" s="203"/>
      <c r="D18" s="203"/>
      <c r="E18" s="203"/>
      <c r="F18" s="204"/>
      <c r="G18" s="92"/>
      <c r="H18" s="92"/>
      <c r="I18" s="92"/>
      <c r="J18" s="92"/>
      <c r="K18" s="92"/>
      <c r="L18" s="92"/>
      <c r="M18" s="92"/>
    </row>
    <row r="19" spans="2:13" ht="33.75" customHeight="1" thickBot="1">
      <c r="B19" s="68" t="s">
        <v>8</v>
      </c>
      <c r="C19" s="69" t="s">
        <v>2</v>
      </c>
      <c r="D19" s="69" t="s">
        <v>3</v>
      </c>
      <c r="E19" s="69" t="s">
        <v>4</v>
      </c>
      <c r="F19" s="69" t="s">
        <v>5</v>
      </c>
      <c r="G19" s="92"/>
      <c r="H19" s="92"/>
      <c r="I19" s="92"/>
      <c r="J19" s="92"/>
      <c r="K19" s="92"/>
      <c r="L19" s="92"/>
      <c r="M19" s="92"/>
    </row>
    <row r="20" spans="2:13" ht="16.5" thickBot="1">
      <c r="B20" s="70">
        <v>1</v>
      </c>
      <c r="C20" s="71">
        <v>2</v>
      </c>
      <c r="D20" s="71">
        <v>3</v>
      </c>
      <c r="E20" s="71">
        <v>4</v>
      </c>
      <c r="F20" s="71">
        <v>5</v>
      </c>
      <c r="G20" s="92"/>
      <c r="H20" s="92"/>
      <c r="I20" s="92"/>
      <c r="J20" s="92"/>
      <c r="K20" s="92"/>
      <c r="L20" s="92"/>
      <c r="M20" s="92"/>
    </row>
    <row r="21" spans="2:13" ht="31.5">
      <c r="B21" s="72" t="s">
        <v>28</v>
      </c>
      <c r="C21" s="73"/>
      <c r="D21" s="74"/>
      <c r="E21" s="74"/>
      <c r="F21" s="75"/>
      <c r="G21" s="92"/>
      <c r="H21" s="92"/>
      <c r="I21" s="92"/>
      <c r="J21" s="92"/>
      <c r="K21" s="92"/>
      <c r="L21" s="92"/>
      <c r="M21" s="92"/>
    </row>
    <row r="22" spans="2:13">
      <c r="B22" s="76" t="s">
        <v>29</v>
      </c>
      <c r="C22" s="125">
        <v>0</v>
      </c>
      <c r="D22" s="214"/>
      <c r="E22" s="215"/>
      <c r="F22" s="125">
        <v>0</v>
      </c>
      <c r="G22" s="92"/>
      <c r="H22" s="92"/>
      <c r="I22" s="92"/>
      <c r="J22" s="92"/>
      <c r="K22" s="92"/>
      <c r="L22" s="92"/>
      <c r="M22" s="92"/>
    </row>
    <row r="23" spans="2:13">
      <c r="B23" s="76" t="s">
        <v>30</v>
      </c>
      <c r="C23" s="125">
        <v>0</v>
      </c>
      <c r="D23" s="216"/>
      <c r="E23" s="217"/>
      <c r="F23" s="125">
        <v>0</v>
      </c>
      <c r="G23" s="92"/>
      <c r="H23" s="92"/>
      <c r="I23" s="92"/>
      <c r="J23" s="92"/>
      <c r="K23" s="92"/>
      <c r="L23" s="92"/>
      <c r="M23" s="92"/>
    </row>
    <row r="24" spans="2:13" ht="47.25">
      <c r="B24" s="76" t="s">
        <v>32</v>
      </c>
      <c r="C24" s="125">
        <v>32</v>
      </c>
      <c r="D24" s="125">
        <v>2943</v>
      </c>
      <c r="E24" s="126">
        <v>2943</v>
      </c>
      <c r="F24" s="125">
        <v>0</v>
      </c>
      <c r="G24" s="92"/>
      <c r="H24" s="92"/>
      <c r="I24" s="92"/>
      <c r="J24" s="92"/>
      <c r="K24" s="92"/>
      <c r="L24" s="92"/>
      <c r="M24" s="92"/>
    </row>
    <row r="25" spans="2:13">
      <c r="B25" s="76" t="s">
        <v>31</v>
      </c>
      <c r="C25" s="125">
        <v>0</v>
      </c>
      <c r="D25" s="125">
        <v>0</v>
      </c>
      <c r="E25" s="126">
        <f ca="1">D25</f>
        <v>0</v>
      </c>
      <c r="F25" s="125">
        <v>0</v>
      </c>
      <c r="G25" s="92"/>
      <c r="H25" s="92"/>
      <c r="I25" s="92"/>
      <c r="J25" s="92"/>
      <c r="K25" s="92"/>
      <c r="L25" s="92"/>
      <c r="M25" s="92"/>
    </row>
    <row r="26" spans="2:13" ht="16.5" thickBot="1">
      <c r="B26" s="77" t="s">
        <v>33</v>
      </c>
      <c r="C26" s="125">
        <v>80887</v>
      </c>
      <c r="D26" s="125">
        <v>272005.59</v>
      </c>
      <c r="E26" s="126">
        <v>272005.59</v>
      </c>
      <c r="F26" s="125">
        <v>0</v>
      </c>
      <c r="G26" s="92"/>
      <c r="H26" s="92"/>
      <c r="I26" s="92"/>
      <c r="J26" s="92"/>
      <c r="K26" s="92"/>
      <c r="L26" s="92"/>
      <c r="M26" s="92"/>
    </row>
    <row r="27" spans="2:13">
      <c r="B27" s="78" t="s">
        <v>71</v>
      </c>
      <c r="C27" s="100"/>
      <c r="D27" s="101"/>
      <c r="E27" s="101"/>
      <c r="F27" s="102"/>
      <c r="G27" s="92"/>
      <c r="H27" s="92"/>
      <c r="I27" s="92"/>
      <c r="J27" s="92"/>
      <c r="K27" s="92"/>
      <c r="L27" s="92"/>
      <c r="M27" s="92"/>
    </row>
    <row r="28" spans="2:13" ht="36" customHeight="1">
      <c r="B28" s="138" t="s">
        <v>111</v>
      </c>
      <c r="C28" s="125">
        <v>0</v>
      </c>
      <c r="D28" s="125">
        <v>0</v>
      </c>
      <c r="E28" s="126">
        <f ca="1">D28</f>
        <v>0</v>
      </c>
      <c r="F28" s="125">
        <v>0</v>
      </c>
      <c r="G28" s="92"/>
      <c r="H28" s="92"/>
      <c r="I28" s="92"/>
      <c r="J28" s="92"/>
      <c r="K28" s="92"/>
      <c r="L28" s="92"/>
      <c r="M28" s="92"/>
    </row>
    <row r="29" spans="2:13" ht="16.5" thickBot="1">
      <c r="B29" s="79" t="s">
        <v>34</v>
      </c>
      <c r="C29" s="125">
        <v>0</v>
      </c>
      <c r="D29" s="125">
        <v>0</v>
      </c>
      <c r="E29" s="125">
        <v>0</v>
      </c>
      <c r="F29" s="125">
        <v>0</v>
      </c>
      <c r="G29" s="92"/>
      <c r="H29" s="92"/>
      <c r="I29" s="92"/>
      <c r="J29" s="92"/>
      <c r="K29" s="92"/>
      <c r="L29" s="92"/>
      <c r="M29" s="92"/>
    </row>
    <row r="30" spans="2:13" ht="16.5" thickBot="1">
      <c r="B30" s="80" t="s">
        <v>72</v>
      </c>
      <c r="C30" s="127">
        <f ca="1">SUM(ROUND(C22,2),ROUND(C23,2),ROUND(C24,2),ROUND(C25,2),ROUND(C26,2))-SUM(ROUND(C28,2),ROUND(C29,2))</f>
        <v>0</v>
      </c>
      <c r="D30" s="127">
        <f ca="1">SUM(ROUND(D22,2),ROUND(D23,2),ROUND(D24,2),ROUND(D25,2),ROUND(D26,2))-SUM(ROUND(D28,2),ROUND(D29,2))</f>
        <v>0</v>
      </c>
      <c r="E30" s="127">
        <f ca="1">SUM(ROUND(E22,2),ROUND(E23,2),ROUND(E24,2),ROUND(E25,2),ROUND(E26,2))-SUM(ROUND(E28,2),ROUND(E29,2))</f>
        <v>0</v>
      </c>
      <c r="F30" s="128">
        <f ca="1">SUM(ROUND(F22,2),ROUND(F23,2),ROUND(F24,2),ROUND(F25,2),ROUND(F26,2))-SUM(ROUND(F28,2),ROUND(F29,2))</f>
        <v>0</v>
      </c>
      <c r="G30" s="92"/>
      <c r="H30" s="92"/>
      <c r="I30" s="92"/>
      <c r="J30" s="92"/>
      <c r="K30" s="92"/>
      <c r="L30" s="92"/>
      <c r="M30" s="92"/>
    </row>
    <row r="31" spans="2:13">
      <c r="B31" s="139" t="s">
        <v>112</v>
      </c>
      <c r="C31" s="73"/>
      <c r="D31" s="74"/>
      <c r="E31" s="74"/>
      <c r="F31" s="75"/>
      <c r="G31" s="92"/>
      <c r="H31" s="92"/>
      <c r="I31" s="92"/>
      <c r="J31" s="92"/>
      <c r="K31" s="92"/>
      <c r="L31" s="92"/>
      <c r="M31" s="92"/>
    </row>
    <row r="32" spans="2:13" ht="31.5">
      <c r="B32" s="138" t="s">
        <v>113</v>
      </c>
      <c r="C32" s="125">
        <v>0</v>
      </c>
      <c r="D32" s="125">
        <v>0</v>
      </c>
      <c r="E32" s="126">
        <f ca="1">D32</f>
        <v>0</v>
      </c>
      <c r="F32" s="125">
        <v>0</v>
      </c>
      <c r="G32" s="92"/>
      <c r="H32" s="92"/>
      <c r="I32" s="92"/>
      <c r="J32" s="92"/>
      <c r="K32" s="92"/>
      <c r="L32" s="92"/>
      <c r="M32" s="92"/>
    </row>
    <row r="33" spans="2:13" ht="45" customHeight="1" thickBot="1">
      <c r="B33" s="140" t="s">
        <v>114</v>
      </c>
      <c r="C33" s="125">
        <v>0</v>
      </c>
      <c r="D33" s="125">
        <v>0</v>
      </c>
      <c r="E33" s="126">
        <f ca="1">D33</f>
        <v>0</v>
      </c>
      <c r="F33" s="125">
        <v>0</v>
      </c>
      <c r="G33" s="92"/>
      <c r="H33" s="92"/>
      <c r="I33" s="92"/>
      <c r="J33" s="92"/>
      <c r="K33" s="92"/>
      <c r="L33" s="92"/>
      <c r="M33" s="92"/>
    </row>
    <row r="34" spans="3:6" s="93" customFormat="1">
      <c r="C34" s="99"/>
      <c r="D34" s="99"/>
      <c r="E34" s="99"/>
      <c r="F34" s="99"/>
    </row>
    <row r="35" s="92" customFormat="1" ht="16.5" thickBot="1"/>
    <row r="36" spans="2:13" ht="19.5" customHeight="1" thickBot="1">
      <c r="B36" s="199" t="s">
        <v>82</v>
      </c>
      <c r="C36" s="200"/>
      <c r="D36" s="200"/>
      <c r="E36" s="201"/>
      <c r="F36" s="92"/>
      <c r="G36" s="92"/>
      <c r="H36" s="92"/>
      <c r="I36" s="92"/>
      <c r="J36" s="92"/>
      <c r="K36" s="92"/>
      <c r="L36" s="92"/>
      <c r="M36" s="92"/>
    </row>
    <row r="37" spans="2:13" ht="32.25" thickBot="1">
      <c r="B37" s="180" t="s">
        <v>9</v>
      </c>
      <c r="C37" s="81"/>
      <c r="D37" s="81" t="s">
        <v>10</v>
      </c>
      <c r="E37" s="81" t="s">
        <v>11</v>
      </c>
      <c r="F37" s="92"/>
      <c r="G37" s="92"/>
      <c r="H37" s="92"/>
      <c r="I37" s="92"/>
      <c r="J37" s="92"/>
      <c r="K37" s="92"/>
      <c r="L37" s="92"/>
      <c r="M37" s="92"/>
    </row>
    <row r="38" spans="2:13" ht="16.5" thickBot="1">
      <c r="B38" s="223">
        <v>1</v>
      </c>
      <c r="C38" s="224"/>
      <c r="D38" s="82">
        <v>2</v>
      </c>
      <c r="E38" s="82">
        <v>3</v>
      </c>
      <c r="F38" s="92"/>
      <c r="G38" s="92"/>
      <c r="H38" s="92"/>
      <c r="I38" s="92"/>
      <c r="J38" s="92"/>
      <c r="K38" s="92"/>
      <c r="L38" s="92"/>
      <c r="M38" s="92"/>
    </row>
    <row r="39" spans="2:13" customHeight="1" thickBot="1">
      <c r="B39" s="225" t="s">
        <v>35</v>
      </c>
      <c r="C39" s="226"/>
      <c r="D39" s="129">
        <v>0</v>
      </c>
      <c r="E39" s="130">
        <v>0</v>
      </c>
      <c r="F39" s="92"/>
      <c r="G39" s="92"/>
      <c r="H39" s="92"/>
      <c r="I39" s="92"/>
      <c r="J39" s="92"/>
      <c r="K39" s="92"/>
      <c r="L39" s="92"/>
      <c r="M39" s="92"/>
    </row>
    <row r="40" spans="2:13" ht="16.5" customHeight="1" thickBot="1">
      <c r="B40" s="181" t="s">
        <v>12</v>
      </c>
      <c r="C40" s="182"/>
      <c r="D40" s="129">
        <v>0</v>
      </c>
      <c r="E40" s="131">
        <v>0</v>
      </c>
      <c r="F40" s="92"/>
      <c r="G40" s="92"/>
      <c r="H40" s="92"/>
      <c r="I40" s="92"/>
      <c r="J40" s="92"/>
      <c r="K40" s="92"/>
      <c r="L40" s="92"/>
      <c r="M40" s="92"/>
    </row>
    <row r="41" spans="2:13" ht="16.5" thickBot="1">
      <c r="B41" s="221" t="s">
        <v>89</v>
      </c>
      <c r="C41" s="222"/>
      <c r="D41" s="132">
        <v>0</v>
      </c>
      <c r="E41" s="133">
        <f ca="1">SUM(E39:E40)</f>
        <v>0</v>
      </c>
      <c r="F41" s="92"/>
      <c r="G41" s="92"/>
      <c r="H41" s="92"/>
      <c r="I41" s="92"/>
      <c r="J41" s="92"/>
      <c r="K41" s="92"/>
      <c r="L41" s="92"/>
      <c r="M41" s="92"/>
    </row>
    <row r="42" spans="13:13">
      <c r="M42" s="92"/>
    </row>
    <row r="43" spans="2:13" ht="19.5" hidden="1" thickBot="1">
      <c r="B43" s="183" t="s">
        <v>75</v>
      </c>
      <c r="C43" s="184"/>
      <c r="D43" s="184"/>
      <c r="E43" s="184"/>
      <c r="F43" s="184"/>
      <c r="G43" s="184"/>
      <c r="H43" s="184"/>
      <c r="I43" s="184"/>
      <c r="J43" s="184"/>
      <c r="K43" s="185"/>
      <c r="M43" s="92"/>
    </row>
    <row r="44" spans="2:13" ht="18" hidden="1" thickBot="1">
      <c r="B44" s="173" t="s">
        <v>13</v>
      </c>
      <c r="C44" s="173" t="s">
        <v>14</v>
      </c>
      <c r="D44" s="218" t="s">
        <v>15</v>
      </c>
      <c r="E44" s="219"/>
      <c r="F44" s="219"/>
      <c r="G44" s="220"/>
      <c r="H44" s="173" t="s">
        <v>16</v>
      </c>
      <c r="I44" s="173" t="s">
        <v>17</v>
      </c>
      <c r="J44" s="173" t="s">
        <v>18</v>
      </c>
      <c r="K44" s="173" t="s">
        <v>19</v>
      </c>
      <c r="M44" s="92"/>
    </row>
    <row r="45" spans="2:13" ht="35.25" hidden="1" thickBot="1">
      <c r="B45" s="174"/>
      <c r="C45" s="174"/>
      <c r="D45" s="7" t="s">
        <v>2</v>
      </c>
      <c r="E45" s="8" t="s">
        <v>3</v>
      </c>
      <c r="F45" s="7" t="s">
        <v>4</v>
      </c>
      <c r="G45" s="7" t="s">
        <v>5</v>
      </c>
      <c r="H45" s="174"/>
      <c r="I45" s="174"/>
      <c r="J45" s="174"/>
      <c r="K45" s="174"/>
      <c r="M45" s="92"/>
    </row>
    <row r="46" spans="2:13" ht="16.5" hidden="1" thickBot="1">
      <c r="B46" s="9">
        <v>1</v>
      </c>
      <c r="C46" s="9">
        <v>2</v>
      </c>
      <c r="D46" s="9">
        <v>4</v>
      </c>
      <c r="E46" s="9">
        <v>5</v>
      </c>
      <c r="F46" s="9">
        <v>6</v>
      </c>
      <c r="G46" s="9">
        <v>7</v>
      </c>
      <c r="H46" s="9"/>
      <c r="I46" s="9">
        <v>8</v>
      </c>
      <c r="J46" s="9">
        <v>9</v>
      </c>
      <c r="K46" s="9">
        <v>10</v>
      </c>
      <c r="M46" s="92"/>
    </row>
    <row r="47" spans="2:13" hidden="1">
      <c r="B47" s="10" t="s">
        <v>2</v>
      </c>
      <c r="C47" s="11"/>
      <c r="D47" s="11"/>
      <c r="E47" s="11"/>
      <c r="F47" s="11"/>
      <c r="G47" s="12"/>
      <c r="H47" s="189"/>
      <c r="I47" s="11"/>
      <c r="J47" s="13"/>
      <c r="K47" s="14"/>
      <c r="M47" s="92"/>
    </row>
    <row r="48" spans="2:13" hidden="1">
      <c r="B48" s="15" t="s">
        <v>3</v>
      </c>
      <c r="C48" s="16"/>
      <c r="D48" s="16"/>
      <c r="E48" s="17"/>
      <c r="F48" s="18"/>
      <c r="G48" s="19"/>
      <c r="H48" s="18"/>
      <c r="I48" s="16"/>
      <c r="J48" s="19"/>
      <c r="K48" s="20"/>
      <c r="M48" s="92"/>
    </row>
    <row r="49" spans="2:13" hidden="1">
      <c r="B49" s="15" t="s">
        <v>4</v>
      </c>
      <c r="C49" s="16"/>
      <c r="D49" s="21"/>
      <c r="E49" s="18"/>
      <c r="F49" s="22"/>
      <c r="G49" s="19"/>
      <c r="H49" s="18"/>
      <c r="I49" s="16"/>
      <c r="J49" s="19"/>
      <c r="K49" s="20"/>
      <c r="M49" s="92"/>
    </row>
    <row r="50" spans="2:13" ht="16.5" hidden="1" thickBot="1">
      <c r="B50" s="23" t="s">
        <v>5</v>
      </c>
      <c r="C50" s="24"/>
      <c r="D50" s="190"/>
      <c r="E50" s="205"/>
      <c r="F50" s="190"/>
      <c r="G50" s="25"/>
      <c r="H50" s="190"/>
      <c r="I50" s="24"/>
      <c r="J50" s="25"/>
      <c r="K50" s="26"/>
      <c r="M50" s="92"/>
    </row>
    <row r="51" spans="13:13" hidden="1">
      <c r="M51" s="92"/>
    </row>
    <row r="52" s="92" customFormat="1" ht="16.5" thickBot="1"/>
    <row r="53" spans="1:13" ht="28.5" customHeight="1" thickBot="1">
      <c r="A53" s="94"/>
      <c r="B53" s="186" t="s">
        <v>83</v>
      </c>
      <c r="C53" s="187"/>
      <c r="D53" s="187"/>
      <c r="E53" s="187"/>
      <c r="F53" s="188"/>
      <c r="G53" s="92"/>
      <c r="H53" s="92"/>
      <c r="I53" s="92"/>
      <c r="J53" s="92"/>
      <c r="K53" s="92"/>
      <c r="L53" s="92"/>
      <c r="M53" s="92"/>
    </row>
    <row r="54" spans="2:13" ht="16.5" thickBot="1">
      <c r="B54" s="83" t="s">
        <v>13</v>
      </c>
      <c r="C54" s="84" t="s">
        <v>2</v>
      </c>
      <c r="D54" s="83" t="s">
        <v>3</v>
      </c>
      <c r="E54" s="85" t="s">
        <v>4</v>
      </c>
      <c r="F54" s="86" t="s">
        <v>5</v>
      </c>
      <c r="G54" s="92"/>
      <c r="H54" s="92"/>
      <c r="I54" s="92"/>
      <c r="J54" s="92"/>
      <c r="K54" s="92"/>
      <c r="L54" s="92"/>
      <c r="M54" s="92"/>
    </row>
    <row r="55" spans="2:13">
      <c r="B55" s="87">
        <v>1</v>
      </c>
      <c r="C55" s="88">
        <v>2</v>
      </c>
      <c r="D55" s="89">
        <v>3</v>
      </c>
      <c r="E55" s="89">
        <v>4</v>
      </c>
      <c r="F55" s="90">
        <v>5</v>
      </c>
      <c r="G55" s="92"/>
      <c r="H55" s="92"/>
      <c r="I55" s="92"/>
      <c r="J55" s="92"/>
      <c r="K55" s="92"/>
      <c r="L55" s="92"/>
      <c r="M55" s="92"/>
    </row>
    <row r="56" spans="2:13" ht="16.5" thickBot="1">
      <c r="B56" s="110" t="s">
        <v>18</v>
      </c>
      <c r="C56" s="134">
        <v>0</v>
      </c>
      <c r="D56" s="134">
        <v>0</v>
      </c>
      <c r="E56" s="134">
        <v>0</v>
      </c>
      <c r="F56" s="134">
        <v>0</v>
      </c>
      <c r="G56" s="92"/>
      <c r="H56" s="92"/>
      <c r="I56" s="92"/>
      <c r="J56" s="92"/>
      <c r="K56" s="92"/>
      <c r="L56" s="92"/>
      <c r="M56" s="92"/>
    </row>
    <row r="57" spans="2:13" ht="21" customHeight="1" hidden="1" thickBot="1">
      <c r="B57" s="106" t="s">
        <v>76</v>
      </c>
      <c r="C57" s="107"/>
      <c r="D57" s="108"/>
      <c r="E57" s="108"/>
      <c r="F57" s="109"/>
      <c r="G57" s="92"/>
      <c r="H57" s="92"/>
      <c r="I57" s="92"/>
      <c r="J57" s="92"/>
      <c r="K57" s="92"/>
      <c r="L57" s="92"/>
      <c r="M57" s="92"/>
    </row>
    <row r="58" spans="1:13">
      <c r="A58" s="93"/>
      <c r="B58" s="27"/>
      <c r="C58" s="28"/>
      <c r="D58" s="28"/>
      <c r="E58" s="28"/>
      <c r="F58" s="28"/>
      <c r="M58" s="92"/>
    </row>
    <row r="59" spans="1:13" ht="16.5" hidden="1" thickBot="1">
      <c r="A59" s="93"/>
      <c r="B59" s="27"/>
      <c r="C59" s="28"/>
      <c r="D59" s="28"/>
      <c r="E59" s="28"/>
      <c r="F59" s="28"/>
      <c r="M59" s="92"/>
    </row>
    <row r="60" spans="1:13" ht="23.25" customHeight="1" hidden="1" thickBot="1">
      <c r="A60" s="93"/>
      <c r="B60" s="196" t="s">
        <v>84</v>
      </c>
      <c r="C60" s="197"/>
      <c r="D60" s="197"/>
      <c r="E60" s="197"/>
      <c r="F60" s="197"/>
      <c r="G60" s="197"/>
      <c r="H60" s="197"/>
      <c r="I60" s="197"/>
      <c r="J60" s="197"/>
      <c r="K60" s="198"/>
      <c r="M60" s="92"/>
    </row>
    <row r="61" spans="1:13" ht="19.5" customHeight="1" hidden="1" thickBot="1">
      <c r="A61" s="93"/>
      <c r="B61" s="191" t="s">
        <v>13</v>
      </c>
      <c r="C61" s="191" t="s">
        <v>14</v>
      </c>
      <c r="D61" s="193" t="s">
        <v>15</v>
      </c>
      <c r="E61" s="194"/>
      <c r="F61" s="194"/>
      <c r="G61" s="195"/>
      <c r="H61" s="191" t="s">
        <v>79</v>
      </c>
      <c r="I61" s="191" t="s">
        <v>17</v>
      </c>
      <c r="J61" s="191" t="s">
        <v>86</v>
      </c>
      <c r="K61" s="191" t="s">
        <v>19</v>
      </c>
      <c r="M61" s="92"/>
    </row>
    <row r="62" spans="1:13" ht="35.1" customHeight="1" hidden="1" thickBot="1">
      <c r="A62" s="93"/>
      <c r="B62" s="192"/>
      <c r="C62" s="192"/>
      <c r="D62" s="29" t="s">
        <v>2</v>
      </c>
      <c r="E62" s="29" t="s">
        <v>3</v>
      </c>
      <c r="F62" s="29" t="s">
        <v>4</v>
      </c>
      <c r="G62" s="29" t="s">
        <v>5</v>
      </c>
      <c r="H62" s="192"/>
      <c r="I62" s="192"/>
      <c r="J62" s="192"/>
      <c r="K62" s="192"/>
      <c r="M62" s="92"/>
    </row>
    <row r="63" spans="1:13" ht="16.5" hidden="1" thickBot="1">
      <c r="A63" s="93"/>
      <c r="B63" s="30">
        <v>1</v>
      </c>
      <c r="C63" s="31">
        <v>2</v>
      </c>
      <c r="D63" s="31">
        <v>3</v>
      </c>
      <c r="E63" s="31">
        <v>4</v>
      </c>
      <c r="F63" s="31">
        <v>5</v>
      </c>
      <c r="G63" s="31">
        <v>6</v>
      </c>
      <c r="H63" s="31">
        <v>7</v>
      </c>
      <c r="I63" s="31">
        <v>8</v>
      </c>
      <c r="J63" s="31">
        <v>9</v>
      </c>
      <c r="K63" s="31">
        <v>10</v>
      </c>
      <c r="M63" s="92"/>
    </row>
    <row r="64" spans="1:13" ht="19.5" hidden="1" thickBot="1">
      <c r="A64" s="93"/>
      <c r="B64" s="227" t="s">
        <v>77</v>
      </c>
      <c r="C64" s="228"/>
      <c r="D64" s="228"/>
      <c r="E64" s="228"/>
      <c r="F64" s="228"/>
      <c r="G64" s="228"/>
      <c r="H64" s="228"/>
      <c r="I64" s="228"/>
      <c r="J64" s="228"/>
      <c r="K64" s="229"/>
      <c r="M64" s="92"/>
    </row>
    <row r="65" spans="1:13" hidden="1">
      <c r="A65" s="93"/>
      <c r="B65" s="32" t="s">
        <v>2</v>
      </c>
      <c r="C65" s="33">
        <f ca="1">D11+D12</f>
        <v>0</v>
      </c>
      <c r="D65" s="34">
        <v>20</v>
      </c>
      <c r="E65" s="34">
        <v>0</v>
      </c>
      <c r="F65" s="35">
        <v>0</v>
      </c>
      <c r="G65" s="154"/>
      <c r="H65" s="155"/>
      <c r="I65" s="36">
        <v>0</v>
      </c>
      <c r="J65" s="37">
        <v>1</v>
      </c>
      <c r="K65" s="38"/>
      <c r="M65" s="92"/>
    </row>
    <row r="66" spans="1:13" hidden="1">
      <c r="A66" s="93"/>
      <c r="B66" s="39" t="s">
        <v>3</v>
      </c>
      <c r="C66" s="40">
        <f ca="1">E11</f>
        <v>0</v>
      </c>
      <c r="D66" s="41"/>
      <c r="E66" s="42">
        <v>10</v>
      </c>
      <c r="F66" s="43"/>
      <c r="G66" s="157"/>
      <c r="H66" s="158"/>
      <c r="I66" s="44"/>
      <c r="J66" s="45">
        <v>1</v>
      </c>
      <c r="K66" s="46">
        <v>1900</v>
      </c>
      <c r="M66" s="92"/>
    </row>
    <row r="67" spans="1:13" hidden="1">
      <c r="A67" s="93"/>
      <c r="B67" s="39" t="s">
        <v>4</v>
      </c>
      <c r="C67" s="40">
        <f ca="1">F11</f>
        <v>0</v>
      </c>
      <c r="D67" s="41"/>
      <c r="E67" s="43"/>
      <c r="F67" s="47">
        <v>10</v>
      </c>
      <c r="G67" s="162"/>
      <c r="H67" s="158"/>
      <c r="I67" s="44"/>
      <c r="J67" s="45">
        <v>1</v>
      </c>
      <c r="K67" s="46">
        <v>1900</v>
      </c>
      <c r="M67" s="92"/>
    </row>
    <row r="68" spans="1:13" ht="16.5" hidden="1" thickBot="1">
      <c r="A68" s="93"/>
      <c r="B68" s="48" t="s">
        <v>5</v>
      </c>
      <c r="C68" s="49">
        <f ca="1">G11+G12</f>
        <v>0</v>
      </c>
      <c r="D68" s="163"/>
      <c r="E68" s="164"/>
      <c r="F68" s="165"/>
      <c r="G68" s="50">
        <v>10</v>
      </c>
      <c r="H68" s="161"/>
      <c r="I68" s="51">
        <v>10</v>
      </c>
      <c r="J68" s="52">
        <v>1</v>
      </c>
      <c r="K68" s="53"/>
      <c r="M68" s="92"/>
    </row>
    <row r="69" spans="1:13" ht="19.5" hidden="1" thickBot="1">
      <c r="A69" s="93"/>
      <c r="B69" s="169" t="s">
        <v>78</v>
      </c>
      <c r="C69" s="170"/>
      <c r="D69" s="171"/>
      <c r="E69" s="171"/>
      <c r="F69" s="171"/>
      <c r="G69" s="171"/>
      <c r="H69" s="171"/>
      <c r="I69" s="171"/>
      <c r="J69" s="171"/>
      <c r="K69" s="172"/>
      <c r="M69" s="92"/>
    </row>
    <row r="70" spans="1:13" hidden="1">
      <c r="A70" s="93"/>
      <c r="B70" s="32" t="s">
        <v>2</v>
      </c>
      <c r="C70" s="33">
        <f ca="1">D14</f>
        <v>0</v>
      </c>
      <c r="D70" s="153"/>
      <c r="E70" s="154"/>
      <c r="F70" s="154"/>
      <c r="G70" s="154"/>
      <c r="H70" s="155"/>
      <c r="I70" s="54">
        <v>10</v>
      </c>
      <c r="J70" s="154"/>
      <c r="K70" s="166"/>
      <c r="M70" s="92"/>
    </row>
    <row r="71" spans="1:13" hidden="1">
      <c r="A71" s="93"/>
      <c r="B71" s="39" t="s">
        <v>3</v>
      </c>
      <c r="C71" s="55">
        <f ca="1">E14</f>
        <v>0</v>
      </c>
      <c r="D71" s="156"/>
      <c r="E71" s="157"/>
      <c r="F71" s="157"/>
      <c r="G71" s="157"/>
      <c r="H71" s="158"/>
      <c r="I71" s="44">
        <v>10</v>
      </c>
      <c r="J71" s="157"/>
      <c r="K71" s="167"/>
      <c r="M71" s="92"/>
    </row>
    <row r="72" spans="1:13" hidden="1">
      <c r="A72" s="93"/>
      <c r="B72" s="39" t="s">
        <v>4</v>
      </c>
      <c r="C72" s="55">
        <f ca="1">F14</f>
        <v>0</v>
      </c>
      <c r="D72" s="156"/>
      <c r="E72" s="157"/>
      <c r="F72" s="157"/>
      <c r="G72" s="157"/>
      <c r="H72" s="158"/>
      <c r="I72" s="44">
        <v>10</v>
      </c>
      <c r="J72" s="157"/>
      <c r="K72" s="167"/>
      <c r="M72" s="92"/>
    </row>
    <row r="73" spans="1:13" ht="16.5" hidden="1" thickBot="1">
      <c r="A73" s="93"/>
      <c r="B73" s="48" t="s">
        <v>5</v>
      </c>
      <c r="C73" s="56">
        <f ca="1">G14</f>
        <v>0</v>
      </c>
      <c r="D73" s="159"/>
      <c r="E73" s="160"/>
      <c r="F73" s="160"/>
      <c r="G73" s="160"/>
      <c r="H73" s="161"/>
      <c r="I73" s="51">
        <v>10</v>
      </c>
      <c r="J73" s="160"/>
      <c r="K73" s="168"/>
      <c r="M73" s="92"/>
    </row>
    <row r="74" spans="1:6" s="92" customFormat="1" ht="16.5" thickBot="1">
      <c r="A74" s="93"/>
      <c r="B74" s="113"/>
      <c r="C74" s="114"/>
      <c r="D74" s="114"/>
      <c r="E74" s="114"/>
      <c r="F74" s="114"/>
    </row>
    <row r="75" spans="1:8" s="92" customFormat="1" ht="19.5" thickBot="1">
      <c r="A75" s="93"/>
      <c r="B75" s="230" t="s">
        <v>88</v>
      </c>
      <c r="C75" s="231"/>
      <c r="D75" s="231"/>
      <c r="E75" s="231"/>
      <c r="F75" s="231"/>
      <c r="G75" s="231"/>
      <c r="H75" s="232"/>
    </row>
    <row r="76" spans="2:13" ht="48.75" customHeight="1" thickBot="1">
      <c r="B76" s="235" t="s">
        <v>91</v>
      </c>
      <c r="C76" s="233" t="s">
        <v>25</v>
      </c>
      <c r="D76" s="234"/>
      <c r="E76" s="233" t="s">
        <v>26</v>
      </c>
      <c r="F76" s="234"/>
      <c r="G76" s="233" t="s">
        <v>27</v>
      </c>
      <c r="H76" s="234"/>
      <c r="I76" s="92"/>
      <c r="J76" s="92"/>
      <c r="K76" s="92"/>
      <c r="L76" s="92"/>
      <c r="M76" s="92"/>
    </row>
    <row r="77" spans="2:13" ht="53.25" customHeight="1" thickBot="1">
      <c r="B77" s="236"/>
      <c r="C77" s="91" t="s">
        <v>1</v>
      </c>
      <c r="D77" s="91" t="s">
        <v>7</v>
      </c>
      <c r="E77" s="91" t="s">
        <v>1</v>
      </c>
      <c r="F77" s="91" t="s">
        <v>7</v>
      </c>
      <c r="G77" s="91" t="s">
        <v>1</v>
      </c>
      <c r="H77" s="91" t="s">
        <v>7</v>
      </c>
      <c r="I77" s="92"/>
      <c r="J77" s="92"/>
      <c r="K77" s="92"/>
      <c r="L77" s="92"/>
      <c r="M77" s="92"/>
    </row>
    <row r="78" spans="2:8" s="92" customFormat="1" ht="16.5" thickBot="1">
      <c r="B78" s="111">
        <v>1</v>
      </c>
      <c r="C78" s="111">
        <v>2</v>
      </c>
      <c r="D78" s="111">
        <v>3</v>
      </c>
      <c r="E78" s="111">
        <v>4</v>
      </c>
      <c r="F78" s="111">
        <v>5</v>
      </c>
      <c r="G78" s="111">
        <v>6</v>
      </c>
      <c r="H78" s="111">
        <v>7</v>
      </c>
    </row>
    <row r="79" spans="2:13">
      <c r="B79" s="112" t="s">
        <v>43</v>
      </c>
      <c r="C79" s="135">
        <v>215029.55</v>
      </c>
      <c r="D79" s="135">
        <v>10752</v>
      </c>
      <c r="E79" s="135">
        <v>0</v>
      </c>
      <c r="F79" s="135">
        <v>0</v>
      </c>
      <c r="G79" s="135">
        <v>0</v>
      </c>
      <c r="H79" s="135">
        <v>0</v>
      </c>
      <c r="I79" s="92"/>
      <c r="J79" s="92"/>
      <c r="K79" s="92"/>
      <c r="L79" s="92"/>
      <c r="M79" s="92"/>
    </row>
    <row r="80" spans="2:13">
      <c r="B80" s="112" t="s">
        <v>44</v>
      </c>
      <c r="C80" s="135">
        <v>185097.62</v>
      </c>
      <c r="D80" s="135">
        <v>9255</v>
      </c>
      <c r="E80" s="135">
        <v>0</v>
      </c>
      <c r="F80" s="135">
        <v>0</v>
      </c>
      <c r="G80" s="135">
        <v>0</v>
      </c>
      <c r="H80" s="135">
        <v>0</v>
      </c>
      <c r="I80" s="92"/>
      <c r="J80" s="92"/>
      <c r="K80" s="92"/>
      <c r="L80" s="92"/>
      <c r="M80" s="92"/>
    </row>
    <row r="81" spans="2:13">
      <c r="B81" s="112" t="s">
        <v>58</v>
      </c>
      <c r="C81" s="135">
        <v>123265.69</v>
      </c>
      <c r="D81" s="135">
        <v>6163</v>
      </c>
      <c r="E81" s="135">
        <v>0</v>
      </c>
      <c r="F81" s="135">
        <v>0</v>
      </c>
      <c r="G81" s="135">
        <v>0</v>
      </c>
      <c r="H81" s="135">
        <v>0</v>
      </c>
      <c r="I81" s="92"/>
      <c r="J81" s="92"/>
      <c r="K81" s="92"/>
      <c r="L81" s="92"/>
      <c r="M81" s="92"/>
    </row>
    <row r="82" spans="2:13">
      <c r="B82" s="112" t="s">
        <v>61</v>
      </c>
      <c r="C82" s="135">
        <v>237221.93</v>
      </c>
      <c r="D82" s="135">
        <v>11863</v>
      </c>
      <c r="E82" s="135">
        <v>0</v>
      </c>
      <c r="F82" s="135">
        <v>0</v>
      </c>
      <c r="G82" s="135">
        <v>0</v>
      </c>
      <c r="H82" s="135">
        <v>0</v>
      </c>
      <c r="I82" s="92"/>
      <c r="J82" s="92"/>
      <c r="K82" s="92"/>
      <c r="L82" s="92"/>
      <c r="M82" s="92"/>
    </row>
    <row r="83" spans="2:13">
      <c r="B83" s="112" t="s">
        <v>119</v>
      </c>
      <c r="C83" s="135">
        <v>36090</v>
      </c>
      <c r="D83" s="135">
        <v>1805</v>
      </c>
      <c r="E83" s="135">
        <v>0</v>
      </c>
      <c r="F83" s="135">
        <v>0</v>
      </c>
      <c r="G83" s="135">
        <v>0</v>
      </c>
      <c r="H83" s="135">
        <v>0</v>
      </c>
      <c r="I83" s="92"/>
      <c r="J83" s="92"/>
      <c r="K83" s="92"/>
      <c r="L83" s="92"/>
      <c r="M83" s="92"/>
    </row>
    <row r="84" spans="2:13">
      <c r="B84" s="112"/>
      <c r="C84" s="135"/>
      <c r="D84" s="135"/>
      <c r="E84" s="135"/>
      <c r="F84" s="135"/>
      <c r="G84" s="135"/>
      <c r="H84" s="135"/>
      <c r="I84" s="92"/>
      <c r="J84" s="92"/>
      <c r="K84" s="92"/>
      <c r="L84" s="92"/>
      <c r="M84" s="92"/>
    </row>
    <row r="85" spans="2:13">
      <c r="B85" s="112"/>
      <c r="C85" s="135"/>
      <c r="D85" s="135"/>
      <c r="E85" s="135"/>
      <c r="F85" s="135"/>
      <c r="G85" s="135"/>
      <c r="H85" s="135"/>
      <c r="I85" s="92"/>
      <c r="J85" s="92"/>
      <c r="K85" s="92"/>
      <c r="L85" s="92"/>
      <c r="M85" s="92"/>
    </row>
    <row r="86" spans="2:13">
      <c r="B86" s="112"/>
      <c r="C86" s="135"/>
      <c r="D86" s="135"/>
      <c r="E86" s="135"/>
      <c r="F86" s="135"/>
      <c r="G86" s="135"/>
      <c r="H86" s="135"/>
      <c r="I86" s="92"/>
      <c r="J86" s="92"/>
      <c r="K86" s="92"/>
      <c r="L86" s="92"/>
      <c r="M86" s="92"/>
    </row>
    <row r="87" spans="2:13">
      <c r="B87" s="112"/>
      <c r="C87" s="135"/>
      <c r="D87" s="135"/>
      <c r="E87" s="135"/>
      <c r="F87" s="135"/>
      <c r="G87" s="135"/>
      <c r="H87" s="135"/>
      <c r="I87" s="92"/>
      <c r="J87" s="92"/>
      <c r="K87" s="92"/>
      <c r="L87" s="92"/>
      <c r="M87" s="92"/>
    </row>
    <row r="88" spans="2:13">
      <c r="B88" s="112"/>
      <c r="C88" s="135"/>
      <c r="D88" s="135"/>
      <c r="E88" s="135"/>
      <c r="F88" s="135"/>
      <c r="G88" s="135"/>
      <c r="H88" s="135"/>
      <c r="I88" s="92"/>
      <c r="J88" s="92"/>
      <c r="K88" s="92"/>
      <c r="L88" s="92"/>
      <c r="M88" s="92"/>
    </row>
    <row r="89" spans="2:13">
      <c r="B89" s="112"/>
      <c r="C89" s="135"/>
      <c r="D89" s="135"/>
      <c r="E89" s="135"/>
      <c r="F89" s="135"/>
      <c r="G89" s="135"/>
      <c r="H89" s="135"/>
      <c r="I89" s="92"/>
      <c r="J89" s="92"/>
      <c r="K89" s="92"/>
      <c r="L89" s="92"/>
      <c r="M89" s="92"/>
    </row>
    <row r="90" spans="2:13">
      <c r="B90" s="112"/>
      <c r="C90" s="135"/>
      <c r="D90" s="135"/>
      <c r="E90" s="135"/>
      <c r="F90" s="135"/>
      <c r="G90" s="135"/>
      <c r="H90" s="135"/>
      <c r="I90" s="92"/>
      <c r="J90" s="92"/>
      <c r="K90" s="92"/>
      <c r="L90" s="92"/>
      <c r="M90" s="92"/>
    </row>
    <row r="91" spans="2:13">
      <c r="B91" s="112"/>
      <c r="C91" s="135"/>
      <c r="D91" s="135"/>
      <c r="E91" s="135"/>
      <c r="F91" s="135"/>
      <c r="G91" s="135"/>
      <c r="H91" s="135"/>
      <c r="I91" s="92"/>
      <c r="J91" s="92"/>
      <c r="K91" s="92"/>
      <c r="L91" s="92"/>
      <c r="M91" s="92"/>
    </row>
    <row r="92" spans="2:13">
      <c r="B92" s="112"/>
      <c r="C92" s="135"/>
      <c r="D92" s="135"/>
      <c r="E92" s="135"/>
      <c r="F92" s="135"/>
      <c r="G92" s="135"/>
      <c r="H92" s="135"/>
      <c r="I92" s="92"/>
      <c r="J92" s="92"/>
      <c r="K92" s="92"/>
      <c r="L92" s="92"/>
      <c r="M92" s="92"/>
    </row>
    <row r="93" spans="2:13">
      <c r="B93" s="112"/>
      <c r="C93" s="135"/>
      <c r="D93" s="135"/>
      <c r="E93" s="135"/>
      <c r="F93" s="135"/>
      <c r="G93" s="135"/>
      <c r="H93" s="135"/>
      <c r="I93" s="92"/>
      <c r="J93" s="92"/>
      <c r="K93" s="92"/>
      <c r="L93" s="92"/>
      <c r="M93" s="92"/>
    </row>
    <row r="94" spans="2:13">
      <c r="B94" s="112"/>
      <c r="C94" s="135"/>
      <c r="D94" s="135"/>
      <c r="E94" s="135"/>
      <c r="F94" s="135"/>
      <c r="G94" s="135"/>
      <c r="H94" s="135"/>
      <c r="I94" s="92"/>
      <c r="J94" s="92"/>
      <c r="K94" s="92"/>
      <c r="L94" s="92"/>
      <c r="M94" s="92"/>
    </row>
    <row r="95" spans="2:13">
      <c r="B95" s="112"/>
      <c r="C95" s="135"/>
      <c r="D95" s="135"/>
      <c r="E95" s="135"/>
      <c r="F95" s="135"/>
      <c r="G95" s="135"/>
      <c r="H95" s="135"/>
      <c r="I95" s="92"/>
      <c r="J95" s="92"/>
      <c r="K95" s="92"/>
      <c r="L95" s="92"/>
      <c r="M95" s="92"/>
    </row>
    <row r="96" spans="2:13">
      <c r="B96" s="112"/>
      <c r="C96" s="135"/>
      <c r="D96" s="135"/>
      <c r="E96" s="135"/>
      <c r="F96" s="135"/>
      <c r="G96" s="135"/>
      <c r="H96" s="135"/>
      <c r="I96" s="92"/>
      <c r="J96" s="92"/>
      <c r="K96" s="92"/>
      <c r="L96" s="92"/>
      <c r="M96" s="92"/>
    </row>
    <row r="97" spans="2:13">
      <c r="B97" s="112"/>
      <c r="C97" s="135"/>
      <c r="D97" s="135"/>
      <c r="E97" s="135"/>
      <c r="F97" s="135"/>
      <c r="G97" s="135"/>
      <c r="H97" s="135"/>
      <c r="I97" s="92"/>
      <c r="J97" s="92"/>
      <c r="K97" s="92"/>
      <c r="L97" s="92"/>
      <c r="M97" s="92"/>
    </row>
    <row r="98" spans="2:13">
      <c r="B98" s="112"/>
      <c r="C98" s="135"/>
      <c r="D98" s="135"/>
      <c r="E98" s="135"/>
      <c r="F98" s="135"/>
      <c r="G98" s="135"/>
      <c r="H98" s="135"/>
      <c r="I98" s="92"/>
      <c r="J98" s="92"/>
      <c r="K98" s="92"/>
      <c r="L98" s="92"/>
      <c r="M98" s="92"/>
    </row>
    <row r="99" spans="2:13">
      <c r="B99" s="112"/>
      <c r="C99" s="135"/>
      <c r="D99" s="135"/>
      <c r="E99" s="135"/>
      <c r="F99" s="135"/>
      <c r="G99" s="135"/>
      <c r="H99" s="135"/>
      <c r="I99" s="92"/>
      <c r="J99" s="92"/>
      <c r="K99" s="92"/>
      <c r="L99" s="92"/>
      <c r="M99" s="92"/>
    </row>
    <row r="100" spans="2:13">
      <c r="B100" s="112"/>
      <c r="C100" s="135"/>
      <c r="D100" s="135"/>
      <c r="E100" s="135"/>
      <c r="F100" s="135"/>
      <c r="G100" s="135"/>
      <c r="H100" s="135"/>
      <c r="I100" s="92"/>
      <c r="J100" s="92"/>
      <c r="K100" s="92"/>
      <c r="L100" s="92"/>
      <c r="M100" s="92"/>
    </row>
    <row r="101" spans="2:13">
      <c r="B101" s="112"/>
      <c r="C101" s="135"/>
      <c r="D101" s="135"/>
      <c r="E101" s="135"/>
      <c r="F101" s="135"/>
      <c r="G101" s="135"/>
      <c r="H101" s="135"/>
      <c r="I101" s="92"/>
      <c r="J101" s="92"/>
      <c r="K101" s="92"/>
      <c r="L101" s="92"/>
      <c r="M101" s="92"/>
    </row>
    <row r="102" spans="2:13">
      <c r="B102" s="112"/>
      <c r="C102" s="135"/>
      <c r="D102" s="135"/>
      <c r="E102" s="135"/>
      <c r="F102" s="135"/>
      <c r="G102" s="135"/>
      <c r="H102" s="135"/>
      <c r="I102" s="92"/>
      <c r="J102" s="92"/>
      <c r="K102" s="92"/>
      <c r="L102" s="92"/>
      <c r="M102" s="92"/>
    </row>
    <row r="103" spans="2:13">
      <c r="B103" s="112"/>
      <c r="C103" s="135"/>
      <c r="D103" s="135"/>
      <c r="E103" s="135"/>
      <c r="F103" s="135"/>
      <c r="G103" s="135"/>
      <c r="H103" s="135"/>
      <c r="I103" s="92"/>
      <c r="J103" s="92"/>
      <c r="K103" s="92"/>
      <c r="L103" s="92"/>
      <c r="M103" s="92"/>
    </row>
    <row r="104" spans="2:13">
      <c r="B104" s="112"/>
      <c r="C104" s="135"/>
      <c r="D104" s="135"/>
      <c r="E104" s="135"/>
      <c r="F104" s="135"/>
      <c r="G104" s="135"/>
      <c r="H104" s="135"/>
      <c r="I104" s="92"/>
      <c r="J104" s="92"/>
      <c r="K104" s="92"/>
      <c r="L104" s="92"/>
      <c r="M104" s="92"/>
    </row>
    <row r="105" spans="2:13">
      <c r="B105" s="112"/>
      <c r="C105" s="135"/>
      <c r="D105" s="135"/>
      <c r="E105" s="135"/>
      <c r="F105" s="135"/>
      <c r="G105" s="135"/>
      <c r="H105" s="135"/>
      <c r="I105" s="92"/>
      <c r="J105" s="92"/>
      <c r="K105" s="92"/>
      <c r="L105" s="92"/>
      <c r="M105" s="92"/>
    </row>
    <row r="106" spans="2:13">
      <c r="B106" s="112"/>
      <c r="C106" s="135"/>
      <c r="D106" s="135"/>
      <c r="E106" s="135"/>
      <c r="F106" s="135"/>
      <c r="G106" s="135"/>
      <c r="H106" s="135"/>
      <c r="I106" s="92"/>
      <c r="J106" s="92"/>
      <c r="K106" s="92"/>
      <c r="L106" s="92"/>
      <c r="M106" s="92"/>
    </row>
    <row r="107" spans="2:13">
      <c r="B107" s="112"/>
      <c r="C107" s="135"/>
      <c r="D107" s="135"/>
      <c r="E107" s="135"/>
      <c r="F107" s="135"/>
      <c r="G107" s="135"/>
      <c r="H107" s="135"/>
      <c r="I107" s="92"/>
      <c r="J107" s="92"/>
      <c r="K107" s="92"/>
      <c r="L107" s="92"/>
      <c r="M107" s="92"/>
    </row>
    <row r="108" spans="2:13">
      <c r="B108" s="112"/>
      <c r="C108" s="135"/>
      <c r="D108" s="135"/>
      <c r="E108" s="135"/>
      <c r="F108" s="135"/>
      <c r="G108" s="135"/>
      <c r="H108" s="135"/>
      <c r="I108" s="92"/>
      <c r="J108" s="92"/>
      <c r="K108" s="92"/>
      <c r="L108" s="92"/>
      <c r="M108" s="92"/>
    </row>
    <row r="109" spans="2:13">
      <c r="B109" s="112"/>
      <c r="C109" s="135"/>
      <c r="D109" s="135"/>
      <c r="E109" s="135"/>
      <c r="F109" s="135"/>
      <c r="G109" s="135"/>
      <c r="H109" s="135"/>
      <c r="I109" s="92"/>
      <c r="J109" s="92"/>
      <c r="K109" s="92"/>
      <c r="L109" s="92"/>
      <c r="M109" s="92"/>
    </row>
    <row r="110" spans="2:13">
      <c r="B110" s="112"/>
      <c r="C110" s="135"/>
      <c r="D110" s="135"/>
      <c r="E110" s="135"/>
      <c r="F110" s="135"/>
      <c r="G110" s="135"/>
      <c r="H110" s="135"/>
      <c r="I110" s="92"/>
      <c r="J110" s="92"/>
      <c r="K110" s="92"/>
      <c r="L110" s="92"/>
      <c r="M110" s="92"/>
    </row>
    <row r="111" spans="2:13">
      <c r="B111" s="112"/>
      <c r="C111" s="135"/>
      <c r="D111" s="135"/>
      <c r="E111" s="135"/>
      <c r="F111" s="135"/>
      <c r="G111" s="135"/>
      <c r="H111" s="135"/>
      <c r="I111" s="92"/>
      <c r="J111" s="92"/>
      <c r="K111" s="92"/>
      <c r="L111" s="92"/>
      <c r="M111" s="92"/>
    </row>
    <row r="112" spans="2:13">
      <c r="B112" s="112"/>
      <c r="C112" s="135"/>
      <c r="D112" s="135"/>
      <c r="E112" s="135"/>
      <c r="F112" s="135"/>
      <c r="G112" s="135"/>
      <c r="H112" s="135"/>
      <c r="I112" s="92"/>
      <c r="J112" s="92"/>
      <c r="K112" s="92"/>
      <c r="L112" s="92"/>
      <c r="M112" s="92"/>
    </row>
    <row r="113" spans="2:13">
      <c r="B113" s="112"/>
      <c r="C113" s="135"/>
      <c r="D113" s="135"/>
      <c r="E113" s="135"/>
      <c r="F113" s="135"/>
      <c r="G113" s="135"/>
      <c r="H113" s="135"/>
      <c r="I113" s="92"/>
      <c r="J113" s="92"/>
      <c r="K113" s="92"/>
      <c r="L113" s="92"/>
      <c r="M113" s="92"/>
    </row>
    <row r="114" spans="2:13">
      <c r="B114" s="112"/>
      <c r="C114" s="135"/>
      <c r="D114" s="135"/>
      <c r="E114" s="135"/>
      <c r="F114" s="135"/>
      <c r="G114" s="135"/>
      <c r="H114" s="135"/>
      <c r="I114" s="92"/>
      <c r="J114" s="92"/>
      <c r="K114" s="92"/>
      <c r="L114" s="92"/>
      <c r="M114" s="92"/>
    </row>
    <row r="115" spans="2:13" ht="16.5" thickBot="1">
      <c r="B115" s="112"/>
      <c r="C115" s="135"/>
      <c r="D115" s="135"/>
      <c r="E115" s="135"/>
      <c r="F115" s="135"/>
      <c r="G115" s="135"/>
      <c r="H115" s="135"/>
      <c r="I115" s="92"/>
      <c r="J115" s="92"/>
      <c r="K115" s="92"/>
      <c r="L115" s="92"/>
      <c r="M115" s="92"/>
    </row>
    <row r="116" spans="2:13" ht="16.5" thickBot="1">
      <c r="B116" s="105" t="s">
        <v>89</v>
      </c>
      <c r="C116" s="136">
        <f ca="1">SUM(C79:C115)</f>
        <v>0</v>
      </c>
      <c r="D116" s="136">
        <f ca="1">SUM(D79:D115)</f>
        <v>0</v>
      </c>
      <c r="E116" s="136">
        <f ca="1">SUM(E79:E115)</f>
        <v>0</v>
      </c>
      <c r="F116" s="136">
        <f ca="1">SUM(F79:F115)</f>
        <v>0</v>
      </c>
      <c r="G116" s="136">
        <f ca="1">SUM(G79:G115)</f>
        <v>0</v>
      </c>
      <c r="H116" s="137">
        <f ca="1">SUM(H79:H115)</f>
        <v>0</v>
      </c>
      <c r="I116" s="92"/>
      <c r="J116" s="92"/>
      <c r="K116" s="92"/>
      <c r="L116" s="92"/>
      <c r="M116" s="92"/>
    </row>
    <row r="117" spans="2:2" s="92" customFormat="1">
      <c r="B117" s="95"/>
    </row>
    <row r="118" s="92" customFormat="1"/>
  </sheetData>
  <sheetProtection algorithmName="SHA-512" hashValue="HyImdxrqjhMI0snDlBezzkJdoYdcmW6axYxvTGdU0rsFM8fDYepmWXZd9IbYYLhg722BIXQgMFSCSmTOSEyD5g==" saltValue="QeeKeNvGscxW+b09XDsKIg==" spinCount="100000"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7">
    <dataValidation type="list" showInputMessage="1" showErrorMessage="1" sqref="G6">
      <formula1>"April, May, June, July, August, September, October, November, December, January, February, March"</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E26">
      <formula1>0</formula1>
    </dataValidation>
    <dataValidation type="decimal" allowBlank="1" showInputMessage="1" showErrorMessage="1" error="Field accepts only numeric value. Maximum: 13 digits with two decimal places." sqref="F32:F33 C22:C26 D24:D26 D39:E40 E29 F22:F26 C28:D29 F28:F29 C32:D33 G14 C79:H115 C12:D12 G11:G12 D14:E14 C13:C15 C11:E11 C56:F56">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28 E32:E33">
      <formula1>0</formula1>
      <formula2>9999999999999.99</formula2>
    </dataValidation>
    <dataValidation type="list" showInputMessage="1" showErrorMessage="1" sqref="G5">
      <formula1>Sheet1!$A$1:$A$6</formula1>
    </dataValidation>
  </dataValidations>
  <pageMargins left="0.7" right="0.7" top="0.75" bottom="0.75" header="0.3" footer="0.3"/>
  <pageSetup orientation="portrait"/>
  <headerFooter scaleWithDoc="1" alignWithMargins="0" differentFirst="0" differentOddEven="0"/>
  <drawing r:id="rId2"/>
  <legacyDrawing r:id="rId3"/>
  <extLst/>
</worksheet>
</file>

<file path=xl/worksheets/sheet3.xml><?xml version="1.0" encoding="utf-8"?>
<worksheet xmlns:r="http://schemas.openxmlformats.org/officeDocument/2006/relationships" xmlns:x14="http://schemas.microsoft.com/office/spreadsheetml/2009/9/main" xmlns:mc="http://schemas.openxmlformats.org/markup-compatibility/2006" xmlns:xdr="http://schemas.openxmlformats.org/drawingml/2006/spreadsheetDrawing" xmlns="http://schemas.openxmlformats.org/spreadsheetml/2006/main">
  <sheetPr codeName="Sheet4"/>
  <dimension ref="A1:A6"/>
  <sheetViews>
    <sheetView view="normal" workbookViewId="0">
      <selection pane="topLeft" activeCell="A6" sqref="A6"/>
    </sheetView>
  </sheetViews>
  <sheetFormatPr defaultRowHeight="15"/>
  <sheetData>
    <row r="1" spans="1:1">
      <c r="A1" t="s">
        <v>102</v>
      </c>
    </row>
    <row r="2" spans="1:1">
      <c r="A2" t="s">
        <v>101</v>
      </c>
    </row>
    <row r="3" spans="1:1">
      <c r="A3" t="s">
        <v>103</v>
      </c>
    </row>
    <row r="4" spans="1:1">
      <c r="A4" t="s">
        <v>104</v>
      </c>
    </row>
    <row r="5" spans="1:1">
      <c r="A5" t="s">
        <v>109</v>
      </c>
    </row>
    <row r="6" spans="1:1">
      <c r="A6" t="s">
        <v>110</v>
      </c>
    </row>
  </sheetData>
  <sheetProtection algorithmName="SHA-512" hashValue="eCY+58N7K+2xG0FHfOYyoTY/eqGQaEkLbUB9VGFIMUi5w/ZEMTB1rVGalI61KS0nbr603antEwgndlIj1e+ycw==" saltValue="PC1gqhrLu+m5nZRAy2qK5w==" spinCount="100000" sheet="1" objects="1" scenarios="1"/>
  <pageMargins left="0.7" right="0.7" top="0.75" bottom="0.75" header="0.3" footer="0.3"/>
  <pageSetup paperSize="9" orientation="portrait"/>
  <headerFooter scaleWithDoc="1" alignWithMargins="0" differentFirst="0" differentOddEven="0"/>
  <extLst/>
</worksheet>
</file>

<file path=xl/worksheets/sheet4.xml><?xml version="1.0" encoding="utf-8"?>
<worksheet xmlns:r="http://schemas.openxmlformats.org/officeDocument/2006/relationships" xmlns:x14="http://schemas.microsoft.com/office/spreadsheetml/2009/9/main" xmlns:mc="http://schemas.openxmlformats.org/markup-compatibility/2006" xmlns:xdr="http://schemas.openxmlformats.org/drawingml/2006/spreadsheetDrawing" xmlns="http://schemas.openxmlformats.org/spreadsheetml/2006/main">
  <sheetPr codeName="Sheet2"/>
  <dimension ref="A1:U39"/>
  <sheetViews>
    <sheetView view="normal" workbookViewId="0">
      <selection pane="topLeft" activeCell="D29" sqref="D29"/>
    </sheetView>
  </sheetViews>
  <sheetFormatPr defaultRowHeight="15"/>
  <cols>
    <col min="1" max="1" width="44.41796875" customWidth="1"/>
    <col min="2" max="2" width="26.140625" bestFit="1" customWidth="1"/>
    <col min="3" max="3" width="53.27734375" bestFit="1" customWidth="1"/>
    <col min="21" max="21" width="6.140625" style="104" bestFit="1" customWidth="1"/>
  </cols>
  <sheetData>
    <row r="1" spans="1:1">
      <c r="A1" s="3" t="s">
        <v>70</v>
      </c>
    </row>
    <row r="2" spans="1:3">
      <c r="A2" s="1" t="s">
        <v>36</v>
      </c>
      <c r="B2">
        <f ca="1">IF(COUNTIF('GSTR-3B'!$B$79:$B$115,A2)&gt;=1,"",ROW())</f>
        <v>2</v>
      </c>
      <c r="C2" t="str">
        <f t="array" aca="true" ref="C2:C39">IF(ROW(A2:A39)-ROW(A2)+1&gt;COUNT(B2:B39),"", INDEX($A:$A,SMALL(B2:B39,ROW(INDIRECT("1:" &amp;ROWS(A2:A39))))))</f>
        <v>01-Jammu &amp; Kashmir</v>
      </c>
    </row>
    <row r="3" spans="1:21">
      <c r="A3" s="1" t="s">
        <v>37</v>
      </c>
      <c r="B3">
        <f ca="1">IF(COUNTIF('GSTR-3B'!$B$79:$B$115,A3)&gt;=1,"",ROW())</f>
        <v>3</v>
      </c>
      <c r="C3" t="str">
        <v>02-Himachal Pradesh</v>
      </c>
      <c r="U3" s="103">
        <f ca="1">SUM('GSTR-3B'!D79:D115)+SUM('GSTR-3B'!F79:F115)+SUM('GSTR-3B'!H79:H115)</f>
        <v>0</v>
      </c>
    </row>
    <row r="4" spans="1:21">
      <c r="A4" s="1" t="s">
        <v>38</v>
      </c>
      <c r="B4">
        <f ca="1">IF(COUNTIF('GSTR-3B'!$B$79:$B$115,A4)&gt;=1,"",ROW())</f>
        <v>4</v>
      </c>
      <c r="C4" t="str">
        <v>03-Punjab</v>
      </c>
      <c r="U4" s="104" t="b">
        <f ca="1">IF('GSTR-3B'!C56 = 'GSTR-3B'!J65,)</f>
        <v>0</v>
      </c>
    </row>
    <row r="5" spans="1:21">
      <c r="A5" s="1" t="s">
        <v>39</v>
      </c>
      <c r="B5">
        <f ca="1">IF(COUNTIF('GSTR-3B'!$B$79:$B$115,A5)&gt;=1,"",ROW())</f>
        <v>5</v>
      </c>
      <c r="C5" t="str">
        <v>04-Chandigarh</v>
      </c>
      <c r="U5" s="104" t="b">
        <f ca="1">IF('GSTR-3B'!D56 = 'GSTR-3B'!J66,)</f>
        <v>0</v>
      </c>
    </row>
    <row r="6" spans="1:21">
      <c r="A6" s="1" t="s">
        <v>40</v>
      </c>
      <c r="B6">
        <f ca="1">IF(COUNTIF('GSTR-3B'!$B$79:$B$115,A6)&gt;=1,"",ROW())</f>
        <v>6</v>
      </c>
      <c r="C6" t="str">
        <v>05-Uttarakhand</v>
      </c>
      <c r="U6" s="104" t="b">
        <f ca="1">IF('GSTR-3B'!E56 = 'GSTR-3B'!J67,)</f>
        <v>0</v>
      </c>
    </row>
    <row r="7" spans="1:21">
      <c r="A7" s="1" t="s">
        <v>41</v>
      </c>
      <c r="B7">
        <f ca="1">IF(COUNTIF('GSTR-3B'!$B$79:$B$115,A7)&gt;=1,"",ROW())</f>
        <v>7</v>
      </c>
      <c r="C7" t="str">
        <v>06-Haryana</v>
      </c>
      <c r="U7" s="104" t="b">
        <f ca="1">IF('GSTR-3B'!F56 = 'GSTR-3B'!J68,)</f>
        <v>0</v>
      </c>
    </row>
    <row r="8" spans="1:3">
      <c r="A8" s="1" t="s">
        <v>42</v>
      </c>
      <c r="B8">
        <f ca="1">IF(COUNTIF('GSTR-3B'!$B$79:$B$115,A8)&gt;=1,"",ROW())</f>
        <v>8</v>
      </c>
      <c r="C8" t="str">
        <v>07-Delhi</v>
      </c>
    </row>
    <row r="9" spans="1:3">
      <c r="A9" s="1" t="s">
        <v>43</v>
      </c>
      <c r="B9">
        <f ca="1">IF(COUNTIF('GSTR-3B'!$B$79:$B$115,A9)&gt;=1,"",ROW())</f>
        <v>9</v>
      </c>
      <c r="C9" t="str">
        <v>08-Rajasthan</v>
      </c>
    </row>
    <row r="10" spans="1:3">
      <c r="A10" s="1" t="s">
        <v>44</v>
      </c>
      <c r="B10">
        <f ca="1">IF(COUNTIF('GSTR-3B'!$B$79:$B$115,A10)&gt;=1,"",ROW())</f>
        <v>10</v>
      </c>
      <c r="C10" t="str">
        <v>09-Uttar Pradesh</v>
      </c>
    </row>
    <row r="11" spans="1:3">
      <c r="A11" s="1" t="s">
        <v>45</v>
      </c>
      <c r="B11">
        <f ca="1">IF(COUNTIF('GSTR-3B'!$B$79:$B$115,A11)&gt;=1,"",ROW())</f>
        <v>11</v>
      </c>
      <c r="C11" t="str">
        <v>10-Bihar</v>
      </c>
    </row>
    <row r="12" spans="1:3">
      <c r="A12" s="1" t="s">
        <v>46</v>
      </c>
      <c r="B12">
        <f ca="1">IF(COUNTIF('GSTR-3B'!$B$79:$B$115,A12)&gt;=1,"",ROW())</f>
        <v>12</v>
      </c>
      <c r="C12" t="str">
        <v>11-Sikkim</v>
      </c>
    </row>
    <row r="13" spans="1:3">
      <c r="A13" s="1" t="s">
        <v>47</v>
      </c>
      <c r="B13">
        <f ca="1">IF(COUNTIF('GSTR-3B'!$B$79:$B$115,A13)&gt;=1,"",ROW())</f>
        <v>13</v>
      </c>
      <c r="C13" t="str">
        <v>12-Arunachal Pradesh</v>
      </c>
    </row>
    <row r="14" spans="1:3">
      <c r="A14" s="1" t="s">
        <v>48</v>
      </c>
      <c r="B14">
        <f ca="1">IF(COUNTIF('GSTR-3B'!$B$79:$B$115,A14)&gt;=1,"",ROW())</f>
        <v>14</v>
      </c>
      <c r="C14" t="str">
        <v>13-Nagaland</v>
      </c>
    </row>
    <row r="15" spans="1:3">
      <c r="A15" s="1" t="s">
        <v>49</v>
      </c>
      <c r="B15">
        <f ca="1">IF(COUNTIF('GSTR-3B'!$B$79:$B$115,A15)&gt;=1,"",ROW())</f>
        <v>15</v>
      </c>
      <c r="C15" t="str">
        <v>14-Manipur</v>
      </c>
    </row>
    <row r="16" spans="1:3">
      <c r="A16" s="1" t="s">
        <v>50</v>
      </c>
      <c r="B16">
        <f ca="1">IF(COUNTIF('GSTR-3B'!$B$79:$B$115,A16)&gt;=1,"",ROW())</f>
        <v>16</v>
      </c>
      <c r="C16" t="str">
        <v>15-Mizoram</v>
      </c>
    </row>
    <row r="17" spans="1:3">
      <c r="A17" s="1" t="s">
        <v>51</v>
      </c>
      <c r="B17">
        <f ca="1">IF(COUNTIF('GSTR-3B'!$B$79:$B$115,A17)&gt;=1,"",ROW())</f>
        <v>17</v>
      </c>
      <c r="C17" t="str">
        <v>16-Tripura</v>
      </c>
    </row>
    <row r="18" spans="1:3">
      <c r="A18" s="1" t="s">
        <v>52</v>
      </c>
      <c r="B18">
        <f ca="1">IF(COUNTIF('GSTR-3B'!$B$79:$B$115,A18)&gt;=1,"",ROW())</f>
        <v>18</v>
      </c>
      <c r="C18" t="str">
        <v>17-Meghalaya</v>
      </c>
    </row>
    <row r="19" spans="1:3">
      <c r="A19" s="1" t="s">
        <v>53</v>
      </c>
      <c r="B19">
        <f ca="1">IF(COUNTIF('GSTR-3B'!$B$79:$B$115,A19)&gt;=1,"",ROW())</f>
        <v>19</v>
      </c>
      <c r="C19" t="str">
        <v>18-Assam</v>
      </c>
    </row>
    <row r="20" spans="1:3">
      <c r="A20" s="1" t="s">
        <v>54</v>
      </c>
      <c r="B20">
        <f ca="1">IF(COUNTIF('GSTR-3B'!$B$79:$B$115,A20)&gt;=1,"",ROW())</f>
        <v>20</v>
      </c>
      <c r="C20" t="str">
        <v>19-West Bengal</v>
      </c>
    </row>
    <row r="21" spans="1:3">
      <c r="A21" s="1" t="s">
        <v>55</v>
      </c>
      <c r="B21">
        <f ca="1">IF(COUNTIF('GSTR-3B'!$B$79:$B$115,A21)&gt;=1,"",ROW())</f>
        <v>21</v>
      </c>
      <c r="C21" t="str">
        <v>20-Jharkhand</v>
      </c>
    </row>
    <row r="22" spans="1:3">
      <c r="A22" s="1" t="s">
        <v>56</v>
      </c>
      <c r="B22">
        <f ca="1">IF(COUNTIF('GSTR-3B'!$B$79:$B$115,A22)&gt;=1,"",ROW())</f>
        <v>22</v>
      </c>
      <c r="C22" t="str">
        <v>21-Odisha</v>
      </c>
    </row>
    <row r="23" spans="1:3">
      <c r="A23" s="1" t="s">
        <v>57</v>
      </c>
      <c r="B23">
        <f ca="1">IF(COUNTIF('GSTR-3B'!$B$79:$B$115,A23)&gt;=1,"",ROW())</f>
        <v>23</v>
      </c>
      <c r="C23" t="str">
        <v>22-Chhattisgarh</v>
      </c>
    </row>
    <row r="24" spans="1:3">
      <c r="A24" s="1" t="s">
        <v>58</v>
      </c>
      <c r="B24">
        <f ca="1">IF(COUNTIF('GSTR-3B'!$B$79:$B$115,A24)&gt;=1,"",ROW())</f>
        <v>24</v>
      </c>
      <c r="C24" t="str">
        <v>23-Madhya Pradesh</v>
      </c>
    </row>
    <row r="25" spans="1:3">
      <c r="A25" s="1" t="s">
        <v>59</v>
      </c>
      <c r="B25">
        <f ca="1">IF(COUNTIF('GSTR-3B'!$B$79:$B$115,A25)&gt;=1,"",ROW())</f>
        <v>25</v>
      </c>
      <c r="C25" t="str">
        <v>24-Gujarat</v>
      </c>
    </row>
    <row r="26" spans="1:3">
      <c r="A26" s="1" t="s">
        <v>60</v>
      </c>
      <c r="B26">
        <f ca="1">IF(COUNTIF('GSTR-3B'!$B$79:$B$115,A26)&gt;=1,"",ROW())</f>
        <v>26</v>
      </c>
      <c r="C26" t="str">
        <v>25-Daman &amp; Diu</v>
      </c>
    </row>
    <row r="27" spans="1:3" ht="15.75" customHeight="1">
      <c r="A27" s="1" t="s">
        <v>106</v>
      </c>
      <c r="B27">
        <f ca="1">IF(COUNTIF('GSTR-3B'!$B$79:$B$115,A27)&gt;=1,"",ROW())</f>
        <v>27</v>
      </c>
      <c r="C27" t="str">
        <v>26-Dadra and Nagar Haveli and Daman and Diu</v>
      </c>
    </row>
    <row r="28" spans="1:3">
      <c r="A28" s="1" t="s">
        <v>61</v>
      </c>
      <c r="B28">
        <f ca="1">IF(COUNTIF('GSTR-3B'!$B$79:$B$115,A28)&gt;=1,"",ROW())</f>
        <v>28</v>
      </c>
      <c r="C28" t="str">
        <v>27-Maharashtra</v>
      </c>
    </row>
    <row r="29" spans="1:3">
      <c r="A29" s="1" t="s">
        <v>62</v>
      </c>
      <c r="B29">
        <f ca="1">IF(COUNTIF('GSTR-3B'!$B$79:$B$115,A29)&gt;=1,"",ROW())</f>
        <v>29</v>
      </c>
      <c r="C29" t="str">
        <v>29-Karnataka</v>
      </c>
    </row>
    <row r="30" spans="1:3">
      <c r="A30" s="1" t="s">
        <v>63</v>
      </c>
      <c r="B30">
        <f ca="1">IF(COUNTIF('GSTR-3B'!$B$79:$B$115,A30)&gt;=1,"",ROW())</f>
        <v>30</v>
      </c>
      <c r="C30" t="str">
        <v>30-Goa</v>
      </c>
    </row>
    <row r="31" spans="1:3">
      <c r="A31" s="1" t="s">
        <v>64</v>
      </c>
      <c r="B31">
        <f ca="1">IF(COUNTIF('GSTR-3B'!$B$79:$B$115,A31)&gt;=1,"",ROW())</f>
        <v>31</v>
      </c>
      <c r="C31" t="str">
        <v>31-Lakshdweep</v>
      </c>
    </row>
    <row r="32" spans="1:3">
      <c r="A32" s="1" t="s">
        <v>65</v>
      </c>
      <c r="B32">
        <f ca="1">IF(COUNTIF('GSTR-3B'!$B$79:$B$115,A32)&gt;=1,"",ROW())</f>
        <v>32</v>
      </c>
      <c r="C32" t="str">
        <v>32-Kerala</v>
      </c>
    </row>
    <row r="33" spans="1:3">
      <c r="A33" s="1" t="s">
        <v>66</v>
      </c>
      <c r="B33">
        <f ca="1">IF(COUNTIF('GSTR-3B'!$B$79:$B$115,A33)&gt;=1,"",ROW())</f>
        <v>33</v>
      </c>
      <c r="C33" t="str">
        <v>33-Tamil Nadu</v>
      </c>
    </row>
    <row r="34" spans="1:3">
      <c r="A34" s="1" t="s">
        <v>100</v>
      </c>
      <c r="B34">
        <f ca="1">IF(COUNTIF('GSTR-3B'!$B$79:$B$115,A34)&gt;=1,"",ROW())</f>
        <v>34</v>
      </c>
      <c r="C34" t="str">
        <v>34-Puducherry</v>
      </c>
    </row>
    <row r="35" spans="1:3">
      <c r="A35" s="1" t="s">
        <v>67</v>
      </c>
      <c r="B35">
        <f ca="1">IF(COUNTIF('GSTR-3B'!$B$79:$B$115,A35)&gt;=1,"",ROW())</f>
        <v>35</v>
      </c>
      <c r="C35" t="str">
        <v>35-Andaman &amp; Nicobar Islands</v>
      </c>
    </row>
    <row r="36" spans="1:3">
      <c r="A36" s="1" t="s">
        <v>68</v>
      </c>
      <c r="B36">
        <f ca="1">IF(COUNTIF('GSTR-3B'!$B$79:$B$115,A36)&gt;=1,"",ROW())</f>
        <v>36</v>
      </c>
      <c r="C36" t="str">
        <v>36-Telengana</v>
      </c>
    </row>
    <row r="37" spans="1:3">
      <c r="A37" s="1" t="s">
        <v>69</v>
      </c>
      <c r="B37">
        <f ca="1">IF(COUNTIF('GSTR-3B'!$B$79:$B$115,A37)&gt;=1,"",ROW())</f>
        <v>37</v>
      </c>
      <c r="C37" t="str">
        <v>37-Andhra Pradesh</v>
      </c>
    </row>
    <row r="38" spans="1:3">
      <c r="A38" s="2" t="s">
        <v>105</v>
      </c>
      <c r="B38">
        <f ca="1">IF(COUNTIF('GSTR-3B'!$B$79:$B$115,A38)&gt;=1,"",ROW())</f>
        <v>38</v>
      </c>
      <c r="C38" t="str">
        <v>38-Ladakh</v>
      </c>
    </row>
    <row r="39" spans="1:3">
      <c r="A39" s="2" t="s">
        <v>87</v>
      </c>
      <c r="B39">
        <f ca="1">IF(COUNTIF('GSTR-3B'!$B$79:$B$115,A39)&gt;=1,"",ROW())</f>
        <v>39</v>
      </c>
      <c r="C39" t="str">
        <v>97-Other Territory</v>
      </c>
    </row>
  </sheetData>
  <sheetProtection password="F421" sheet="1" objects="1" scenarios="1"/>
  <pageMargins left="0.7" right="0.7" top="0.75" bottom="0.75" header="0.3" footer="0.3"/>
  <pageSetup orientation="portrait"/>
  <headerFooter scaleWithDoc="1" alignWithMargins="0" differentFirst="0" differentOddEven="0"/>
  <extLst/>
</worksheet>
</file>

<file path=docProps/app.xml><?xml version="1.0" encoding="utf-8"?>
<Properties xmlns="http://schemas.openxmlformats.org/officeDocument/2006/extended-properties">
  <Application>Essential XlsIO</Application>
  <Company/>
  <AppVersion>16.0300</AppVersion>
</Properties>
</file>

<file path=docProps/core.xml><?xml version="1.0" encoding="utf-8"?>
<cp:coreProperties xmlns:dc="http://purl.org/dc/elements/1.1/" xmlns:dcterms="http://purl.org/dc/terms/" xmlns:dcmitype="http://purl.org/dc/dcmitype/" xmlns:xsi="http://www.w3.org/2001/XMLSchema-instance" xmlns:cp="http://schemas.openxmlformats.org/package/2006/metadata/core-properties">
  <dc:creator>Gajanan U Khanande</dc:creator>
  <cp:lastModifiedBy>Anukriti Bhatt</cp:lastModifiedBy>
  <dcterms:created xsi:type="dcterms:W3CDTF">2017-06-23T16:57:24Z</dcterms:created>
  <dcterms:modified xsi:type="dcterms:W3CDTF">2022-08-29T06:20:50Z</dcterms:modified>
</cp:coreProperties>
</file>

<file path=docProps/custom.xml><?xml version="1.0" encoding="utf-8"?>
<Properties xmlns:vt="http://schemas.openxmlformats.org/officeDocument/2006/docPropsVTypes" xmlns="http://schemas.openxmlformats.org/officeDocument/2006/custom-properties">
  <property fmtid="{D5CDD505-2E9C-101B-9397-08002B2CF9AE}" pid="2" name="MSIP_Label_be4b3411-284d-4d31-bd4f-bc13ef7f1fd6_Enabled">
    <vt:lpstr>True</vt:lpstr>
  </property>
  <property fmtid="{D5CDD505-2E9C-101B-9397-08002B2CF9AE}" pid="3" name="MSIP_Label_be4b3411-284d-4d31-bd4f-bc13ef7f1fd6_SiteId">
    <vt:lpstr>63ce7d59-2f3e-42cd-a8cc-be764cff5eb6</vt:lpstr>
  </property>
  <property fmtid="{D5CDD505-2E9C-101B-9397-08002B2CF9AE}" pid="4" name="MSIP_Label_be4b3411-284d-4d31-bd4f-bc13ef7f1fd6_Owner">
    <vt:lpstr>aditya.singh51@ad.infosys.com</vt:lpstr>
  </property>
  <property fmtid="{D5CDD505-2E9C-101B-9397-08002B2CF9AE}" pid="5" name="MSIP_Label_be4b3411-284d-4d31-bd4f-bc13ef7f1fd6_SetDate">
    <vt:lpstr>2019-11-15T08:06:34.4068154Z</vt:lpstr>
  </property>
  <property fmtid="{D5CDD505-2E9C-101B-9397-08002B2CF9AE}" pid="6" name="MSIP_Label_be4b3411-284d-4d31-bd4f-bc13ef7f1fd6_Name">
    <vt:lpstr>Internal</vt:lpstr>
  </property>
  <property fmtid="{D5CDD505-2E9C-101B-9397-08002B2CF9AE}" pid="7" name="MSIP_Label_be4b3411-284d-4d31-bd4f-bc13ef7f1fd6_Application">
    <vt:lpstr>Microsoft Azure Information Protection</vt:lpstr>
  </property>
  <property fmtid="{D5CDD505-2E9C-101B-9397-08002B2CF9AE}" pid="8" name="MSIP_Label_be4b3411-284d-4d31-bd4f-bc13ef7f1fd6_ActionId">
    <vt:lpstr>2cdd17d3-25ab-46f7-ab6f-5aef2940ede1</vt:lpstr>
  </property>
  <property fmtid="{D5CDD505-2E9C-101B-9397-08002B2CF9AE}" pid="9" name="MSIP_Label_be4b3411-284d-4d31-bd4f-bc13ef7f1fd6_Extended_MSFT_Method">
    <vt:lpstr>Automatic</vt:lpstr>
  </property>
  <property fmtid="{D5CDD505-2E9C-101B-9397-08002B2CF9AE}" pid="10" name="MSIP_Label_a0819fa7-4367-4500-ba88-dd630d977609_Enabled">
    <vt:lpstr>true</vt:lpstr>
  </property>
  <property fmtid="{D5CDD505-2E9C-101B-9397-08002B2CF9AE}" pid="11" name="MSIP_Label_a0819fa7-4367-4500-ba88-dd630d977609_SetDate">
    <vt:lpstr>2022-08-08T08:17:30Z</vt:lpstr>
  </property>
  <property fmtid="{D5CDD505-2E9C-101B-9397-08002B2CF9AE}" pid="12" name="MSIP_Label_a0819fa7-4367-4500-ba88-dd630d977609_Method">
    <vt:lpstr>Standard</vt:lpstr>
  </property>
  <property fmtid="{D5CDD505-2E9C-101B-9397-08002B2CF9AE}" pid="13" name="MSIP_Label_a0819fa7-4367-4500-ba88-dd630d977609_Name">
    <vt:lpstr>a0819fa7-4367-4500-ba88-dd630d977609</vt:lpstr>
  </property>
  <property fmtid="{D5CDD505-2E9C-101B-9397-08002B2CF9AE}" pid="14" name="MSIP_Label_a0819fa7-4367-4500-ba88-dd630d977609_SiteId">
    <vt:lpstr>63ce7d59-2f3e-42cd-a8cc-be764cff5eb6</vt:lpstr>
  </property>
  <property fmtid="{D5CDD505-2E9C-101B-9397-08002B2CF9AE}" pid="15" name="MSIP_Label_a0819fa7-4367-4500-ba88-dd630d977609_ActionId">
    <vt:lpstr>2cdd17d3-25ab-46f7-ab6f-5aef2940ede1</vt:lpstr>
  </property>
  <property fmtid="{D5CDD505-2E9C-101B-9397-08002B2CF9AE}" pid="16" name="MSIP_Label_a0819fa7-4367-4500-ba88-dd630d977609_ContentBits">
    <vt:lpstr>0</vt:lpstr>
  </property>
</Properties>
</file>